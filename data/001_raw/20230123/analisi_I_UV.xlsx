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2022-25-03-IER\Estaciones\ESOLMET\Respaldo_ESOLMET\2023\Respaldos_Local\20230123\"/>
    </mc:Choice>
  </mc:AlternateContent>
  <xr:revisionPtr revIDLastSave="0" documentId="13_ncr:40009_{DEA33B5E-DD1D-4229-A2C7-553552FA0B6C}" xr6:coauthVersionLast="36" xr6:coauthVersionMax="36" xr10:uidLastSave="{00000000-0000-0000-0000-000000000000}"/>
  <bookViews>
    <workbookView xWindow="0" yWindow="0" windowWidth="23040" windowHeight="9060"/>
  </bookViews>
  <sheets>
    <sheet name="CR1000-ESOLMET_LOC_Tabla_diez_m" sheetId="1" r:id="rId1"/>
  </sheets>
  <calcPr calcId="0"/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</calcChain>
</file>

<file path=xl/sharedStrings.xml><?xml version="1.0" encoding="utf-8"?>
<sst xmlns="http://schemas.openxmlformats.org/spreadsheetml/2006/main" count="79" uniqueCount="49">
  <si>
    <t>TOA5</t>
  </si>
  <si>
    <t>CR1000-ESOLMET_LOC</t>
  </si>
  <si>
    <t>CR1000</t>
  </si>
  <si>
    <t>CR1000.Std.32.05</t>
  </si>
  <si>
    <t>CPU:20230122_ESOLMET-CR1000.CR1</t>
  </si>
  <si>
    <t>Tabla_diez_min</t>
  </si>
  <si>
    <t>TIMESTAMP</t>
  </si>
  <si>
    <t>RECORD</t>
  </si>
  <si>
    <t>Batt_Volt_Min</t>
  </si>
  <si>
    <t>I_glo_Avg</t>
  </si>
  <si>
    <t>I_dir_Avg</t>
  </si>
  <si>
    <t>I_dif_Avg</t>
  </si>
  <si>
    <t>I_glo_inc_Avg</t>
  </si>
  <si>
    <t>Indice_UV_Avg</t>
  </si>
  <si>
    <t>AirTC_Avg</t>
  </si>
  <si>
    <t>AirTC_Max</t>
  </si>
  <si>
    <t>AirTC_Min</t>
  </si>
  <si>
    <t>AirTC_Std</t>
  </si>
  <si>
    <t>RH_Avg</t>
  </si>
  <si>
    <t>RH_Max</t>
  </si>
  <si>
    <t>RH_Min</t>
  </si>
  <si>
    <t>RH_Std</t>
  </si>
  <si>
    <t>WS_ms_Avg</t>
  </si>
  <si>
    <t>WS_ms_Max</t>
  </si>
  <si>
    <t>WS_ms_Min</t>
  </si>
  <si>
    <t>WS_ms_Std</t>
  </si>
  <si>
    <t>WindDir</t>
  </si>
  <si>
    <t>CS106_PB_Avg</t>
  </si>
  <si>
    <t>Rain_mm_Tot</t>
  </si>
  <si>
    <t>TS</t>
  </si>
  <si>
    <t>RN</t>
  </si>
  <si>
    <t>Volts</t>
  </si>
  <si>
    <t>W/m2</t>
  </si>
  <si>
    <t>I-UV</t>
  </si>
  <si>
    <t>Â°C</t>
  </si>
  <si>
    <t>%</t>
  </si>
  <si>
    <t>m/s</t>
  </si>
  <si>
    <t>grados</t>
  </si>
  <si>
    <t>mbar</t>
  </si>
  <si>
    <t>mm</t>
  </si>
  <si>
    <t>Min</t>
  </si>
  <si>
    <t>Avg</t>
  </si>
  <si>
    <t>Max</t>
  </si>
  <si>
    <t>Std</t>
  </si>
  <si>
    <t>Smp</t>
  </si>
  <si>
    <t>Tot</t>
  </si>
  <si>
    <t>Lectura</t>
  </si>
  <si>
    <t>Corregido</t>
  </si>
  <si>
    <t xml:space="preserve">Factor de corr.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</si>
</sst>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'CR1000-ESOLMET_LOC_Tabla_diez_m'!$I$6:$I$149</c:f>
              <c:numCache>
                <c:formatCode>General</c:formatCode>
                <c:ptCount val="144"/>
                <c:pt idx="0">
                  <c:v>3.9940000000000002</c:v>
                </c:pt>
                <c:pt idx="1">
                  <c:v>3.9940000000000002</c:v>
                </c:pt>
                <c:pt idx="2">
                  <c:v>3.9940000000000002</c:v>
                </c:pt>
                <c:pt idx="3">
                  <c:v>3.9940000000000002</c:v>
                </c:pt>
                <c:pt idx="4">
                  <c:v>3.9940000000000002</c:v>
                </c:pt>
                <c:pt idx="5">
                  <c:v>3.9940000000000002</c:v>
                </c:pt>
                <c:pt idx="6">
                  <c:v>3.9940000000000002</c:v>
                </c:pt>
                <c:pt idx="7">
                  <c:v>3.9940000000000002</c:v>
                </c:pt>
                <c:pt idx="8">
                  <c:v>3.9940000000000002</c:v>
                </c:pt>
                <c:pt idx="9">
                  <c:v>3.9940000000000002</c:v>
                </c:pt>
                <c:pt idx="10">
                  <c:v>3.9940000000000002</c:v>
                </c:pt>
                <c:pt idx="11">
                  <c:v>3.9940000000000002</c:v>
                </c:pt>
                <c:pt idx="12">
                  <c:v>3.9940000000000002</c:v>
                </c:pt>
                <c:pt idx="13">
                  <c:v>3.9940000000000002</c:v>
                </c:pt>
                <c:pt idx="14">
                  <c:v>3.9940000000000002</c:v>
                </c:pt>
                <c:pt idx="15">
                  <c:v>3.9940000000000002</c:v>
                </c:pt>
                <c:pt idx="16">
                  <c:v>3.9940000000000002</c:v>
                </c:pt>
                <c:pt idx="17">
                  <c:v>3.9940000000000002</c:v>
                </c:pt>
                <c:pt idx="18">
                  <c:v>3.9940000000000002</c:v>
                </c:pt>
                <c:pt idx="19">
                  <c:v>3.9940000000000002</c:v>
                </c:pt>
                <c:pt idx="20">
                  <c:v>3.9940000000000002</c:v>
                </c:pt>
                <c:pt idx="21">
                  <c:v>3.9940000000000002</c:v>
                </c:pt>
                <c:pt idx="22">
                  <c:v>3.9940000000000002</c:v>
                </c:pt>
                <c:pt idx="23">
                  <c:v>3.9940000000000002</c:v>
                </c:pt>
                <c:pt idx="24">
                  <c:v>3.9940000000000002</c:v>
                </c:pt>
                <c:pt idx="25">
                  <c:v>3.9940000000000002</c:v>
                </c:pt>
                <c:pt idx="26">
                  <c:v>3.9940000000000002</c:v>
                </c:pt>
                <c:pt idx="27">
                  <c:v>3.9940000000000002</c:v>
                </c:pt>
                <c:pt idx="28">
                  <c:v>3.9950000000000001</c:v>
                </c:pt>
                <c:pt idx="29">
                  <c:v>3.9950000000000001</c:v>
                </c:pt>
                <c:pt idx="30">
                  <c:v>3.9950000000000001</c:v>
                </c:pt>
                <c:pt idx="31">
                  <c:v>3.9950000000000001</c:v>
                </c:pt>
                <c:pt idx="32">
                  <c:v>3.9950000000000001</c:v>
                </c:pt>
                <c:pt idx="33">
                  <c:v>3.9950000000000001</c:v>
                </c:pt>
                <c:pt idx="34">
                  <c:v>3.9950000000000001</c:v>
                </c:pt>
                <c:pt idx="35">
                  <c:v>3.9950000000000001</c:v>
                </c:pt>
                <c:pt idx="36">
                  <c:v>3.9950000000000001</c:v>
                </c:pt>
                <c:pt idx="37">
                  <c:v>3.9950000000000001</c:v>
                </c:pt>
                <c:pt idx="38">
                  <c:v>3.9950000000000001</c:v>
                </c:pt>
                <c:pt idx="39">
                  <c:v>3.9950000000000001</c:v>
                </c:pt>
                <c:pt idx="40">
                  <c:v>3.9950000000000001</c:v>
                </c:pt>
                <c:pt idx="41">
                  <c:v>3.9950000000000001</c:v>
                </c:pt>
                <c:pt idx="42">
                  <c:v>3.9950000000000001</c:v>
                </c:pt>
                <c:pt idx="43">
                  <c:v>3.9950000000000001</c:v>
                </c:pt>
                <c:pt idx="44">
                  <c:v>4</c:v>
                </c:pt>
                <c:pt idx="45">
                  <c:v>4.0209999999999999</c:v>
                </c:pt>
                <c:pt idx="46">
                  <c:v>4.0490000000000004</c:v>
                </c:pt>
                <c:pt idx="47">
                  <c:v>4.0890000000000004</c:v>
                </c:pt>
                <c:pt idx="48">
                  <c:v>4.1470000000000002</c:v>
                </c:pt>
                <c:pt idx="49">
                  <c:v>4.202</c:v>
                </c:pt>
                <c:pt idx="50">
                  <c:v>4.3019999999999996</c:v>
                </c:pt>
                <c:pt idx="51">
                  <c:v>4.4009999999999998</c:v>
                </c:pt>
                <c:pt idx="52">
                  <c:v>4.5129999999999999</c:v>
                </c:pt>
                <c:pt idx="53">
                  <c:v>4.6760000000000002</c:v>
                </c:pt>
                <c:pt idx="54">
                  <c:v>4.827</c:v>
                </c:pt>
                <c:pt idx="55">
                  <c:v>4.9989999999999997</c:v>
                </c:pt>
                <c:pt idx="56">
                  <c:v>5.1790000000000003</c:v>
                </c:pt>
                <c:pt idx="57">
                  <c:v>5.4089999999999998</c:v>
                </c:pt>
                <c:pt idx="58">
                  <c:v>5.7510000000000003</c:v>
                </c:pt>
                <c:pt idx="59">
                  <c:v>6.0279999999999996</c:v>
                </c:pt>
                <c:pt idx="60">
                  <c:v>6.3460000000000001</c:v>
                </c:pt>
                <c:pt idx="61">
                  <c:v>6.6559999999999997</c:v>
                </c:pt>
                <c:pt idx="62">
                  <c:v>6.931</c:v>
                </c:pt>
                <c:pt idx="63">
                  <c:v>7.2149999999999999</c:v>
                </c:pt>
                <c:pt idx="64">
                  <c:v>7.3220000000000001</c:v>
                </c:pt>
                <c:pt idx="65">
                  <c:v>7.7670000000000003</c:v>
                </c:pt>
                <c:pt idx="66">
                  <c:v>8.18</c:v>
                </c:pt>
                <c:pt idx="67">
                  <c:v>8.39</c:v>
                </c:pt>
                <c:pt idx="68">
                  <c:v>8.6300000000000008</c:v>
                </c:pt>
                <c:pt idx="69">
                  <c:v>8.9499999999999993</c:v>
                </c:pt>
                <c:pt idx="70">
                  <c:v>8.83</c:v>
                </c:pt>
                <c:pt idx="71">
                  <c:v>9.06</c:v>
                </c:pt>
                <c:pt idx="72">
                  <c:v>9.27</c:v>
                </c:pt>
                <c:pt idx="73">
                  <c:v>9.7100000000000009</c:v>
                </c:pt>
                <c:pt idx="74">
                  <c:v>9.89</c:v>
                </c:pt>
                <c:pt idx="75">
                  <c:v>9.77</c:v>
                </c:pt>
                <c:pt idx="76">
                  <c:v>9.9</c:v>
                </c:pt>
                <c:pt idx="77">
                  <c:v>9.89</c:v>
                </c:pt>
                <c:pt idx="78">
                  <c:v>9.85</c:v>
                </c:pt>
                <c:pt idx="79">
                  <c:v>9.7100000000000009</c:v>
                </c:pt>
                <c:pt idx="80">
                  <c:v>9.56</c:v>
                </c:pt>
                <c:pt idx="81">
                  <c:v>9.41</c:v>
                </c:pt>
                <c:pt idx="82">
                  <c:v>9.34</c:v>
                </c:pt>
                <c:pt idx="83">
                  <c:v>9.15</c:v>
                </c:pt>
                <c:pt idx="84">
                  <c:v>9.2200000000000006</c:v>
                </c:pt>
                <c:pt idx="85">
                  <c:v>9.27</c:v>
                </c:pt>
                <c:pt idx="86">
                  <c:v>8.68</c:v>
                </c:pt>
                <c:pt idx="87">
                  <c:v>8.7899999999999991</c:v>
                </c:pt>
                <c:pt idx="88">
                  <c:v>8.41</c:v>
                </c:pt>
                <c:pt idx="89">
                  <c:v>8.24</c:v>
                </c:pt>
                <c:pt idx="90">
                  <c:v>7.9269999999999996</c:v>
                </c:pt>
                <c:pt idx="91">
                  <c:v>7.6059999999999999</c:v>
                </c:pt>
                <c:pt idx="92">
                  <c:v>7.2409999999999997</c:v>
                </c:pt>
                <c:pt idx="93">
                  <c:v>6.9050000000000002</c:v>
                </c:pt>
                <c:pt idx="94">
                  <c:v>6.5970000000000004</c:v>
                </c:pt>
                <c:pt idx="95">
                  <c:v>6.2530000000000001</c:v>
                </c:pt>
                <c:pt idx="96">
                  <c:v>5.9509999999999996</c:v>
                </c:pt>
                <c:pt idx="97">
                  <c:v>5.7050000000000001</c:v>
                </c:pt>
                <c:pt idx="98">
                  <c:v>5.452</c:v>
                </c:pt>
                <c:pt idx="99">
                  <c:v>5.2320000000000002</c:v>
                </c:pt>
                <c:pt idx="100">
                  <c:v>5.0170000000000003</c:v>
                </c:pt>
                <c:pt idx="101">
                  <c:v>4.8259999999999996</c:v>
                </c:pt>
                <c:pt idx="102">
                  <c:v>4.6479999999999997</c:v>
                </c:pt>
                <c:pt idx="103">
                  <c:v>4.4930000000000003</c:v>
                </c:pt>
                <c:pt idx="104">
                  <c:v>4.3680000000000003</c:v>
                </c:pt>
                <c:pt idx="105">
                  <c:v>4.2679999999999998</c:v>
                </c:pt>
                <c:pt idx="106">
                  <c:v>4.1859999999999999</c:v>
                </c:pt>
                <c:pt idx="107">
                  <c:v>4.1219999999999999</c:v>
                </c:pt>
                <c:pt idx="108">
                  <c:v>4.0739999999999998</c:v>
                </c:pt>
                <c:pt idx="109">
                  <c:v>4.0380000000000003</c:v>
                </c:pt>
                <c:pt idx="110">
                  <c:v>4.016</c:v>
                </c:pt>
                <c:pt idx="111">
                  <c:v>3.996</c:v>
                </c:pt>
                <c:pt idx="112">
                  <c:v>3.9929999999999999</c:v>
                </c:pt>
                <c:pt idx="113">
                  <c:v>3.9940000000000002</c:v>
                </c:pt>
                <c:pt idx="114">
                  <c:v>3.9940000000000002</c:v>
                </c:pt>
                <c:pt idx="115">
                  <c:v>3.9940000000000002</c:v>
                </c:pt>
                <c:pt idx="116">
                  <c:v>3.9940000000000002</c:v>
                </c:pt>
                <c:pt idx="117">
                  <c:v>3.9940000000000002</c:v>
                </c:pt>
                <c:pt idx="118">
                  <c:v>3.9940000000000002</c:v>
                </c:pt>
                <c:pt idx="119">
                  <c:v>3.9940000000000002</c:v>
                </c:pt>
                <c:pt idx="120">
                  <c:v>3.9940000000000002</c:v>
                </c:pt>
                <c:pt idx="121">
                  <c:v>3.9940000000000002</c:v>
                </c:pt>
                <c:pt idx="122">
                  <c:v>3.9940000000000002</c:v>
                </c:pt>
                <c:pt idx="123">
                  <c:v>3.9940000000000002</c:v>
                </c:pt>
                <c:pt idx="124">
                  <c:v>3.9940000000000002</c:v>
                </c:pt>
                <c:pt idx="125">
                  <c:v>3.9940000000000002</c:v>
                </c:pt>
                <c:pt idx="126">
                  <c:v>3.9940000000000002</c:v>
                </c:pt>
                <c:pt idx="127">
                  <c:v>3.9940000000000002</c:v>
                </c:pt>
                <c:pt idx="128">
                  <c:v>3.9940000000000002</c:v>
                </c:pt>
                <c:pt idx="129">
                  <c:v>3.9940000000000002</c:v>
                </c:pt>
                <c:pt idx="130">
                  <c:v>3.9940000000000002</c:v>
                </c:pt>
                <c:pt idx="131">
                  <c:v>3.9940000000000002</c:v>
                </c:pt>
                <c:pt idx="132">
                  <c:v>3.9940000000000002</c:v>
                </c:pt>
                <c:pt idx="133">
                  <c:v>3.9940000000000002</c:v>
                </c:pt>
                <c:pt idx="134">
                  <c:v>3.9940000000000002</c:v>
                </c:pt>
                <c:pt idx="135">
                  <c:v>3.9940000000000002</c:v>
                </c:pt>
                <c:pt idx="136">
                  <c:v>3.9940000000000002</c:v>
                </c:pt>
                <c:pt idx="137">
                  <c:v>3.9940000000000002</c:v>
                </c:pt>
                <c:pt idx="138">
                  <c:v>3.9940000000000002</c:v>
                </c:pt>
                <c:pt idx="139">
                  <c:v>3.9940000000000002</c:v>
                </c:pt>
                <c:pt idx="140">
                  <c:v>3.9940000000000002</c:v>
                </c:pt>
                <c:pt idx="141">
                  <c:v>3.9940000000000002</c:v>
                </c:pt>
                <c:pt idx="142">
                  <c:v>3.9940000000000002</c:v>
                </c:pt>
                <c:pt idx="143">
                  <c:v>3.9940000000000002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3F-4ED6-9E7E-A14F1ACC528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'CR1000-ESOLMET_LOC_Tabla_diez_m'!$J$6:$J$149</c:f>
              <c:numCache>
                <c:formatCode>General</c:formatCode>
                <c:ptCount val="144"/>
                <c:pt idx="0">
                  <c:v>9.9850000000000008E-2</c:v>
                </c:pt>
                <c:pt idx="1">
                  <c:v>9.9850000000000008E-2</c:v>
                </c:pt>
                <c:pt idx="2">
                  <c:v>9.9850000000000008E-2</c:v>
                </c:pt>
                <c:pt idx="3">
                  <c:v>9.9850000000000008E-2</c:v>
                </c:pt>
                <c:pt idx="4">
                  <c:v>9.9850000000000008E-2</c:v>
                </c:pt>
                <c:pt idx="5">
                  <c:v>9.9850000000000008E-2</c:v>
                </c:pt>
                <c:pt idx="6">
                  <c:v>9.9850000000000008E-2</c:v>
                </c:pt>
                <c:pt idx="7">
                  <c:v>9.9850000000000008E-2</c:v>
                </c:pt>
                <c:pt idx="8">
                  <c:v>9.9850000000000008E-2</c:v>
                </c:pt>
                <c:pt idx="9">
                  <c:v>9.9850000000000008E-2</c:v>
                </c:pt>
                <c:pt idx="10">
                  <c:v>9.9850000000000008E-2</c:v>
                </c:pt>
                <c:pt idx="11">
                  <c:v>9.9850000000000008E-2</c:v>
                </c:pt>
                <c:pt idx="12">
                  <c:v>9.9850000000000008E-2</c:v>
                </c:pt>
                <c:pt idx="13">
                  <c:v>9.9850000000000008E-2</c:v>
                </c:pt>
                <c:pt idx="14">
                  <c:v>9.9850000000000008E-2</c:v>
                </c:pt>
                <c:pt idx="15">
                  <c:v>9.9850000000000008E-2</c:v>
                </c:pt>
                <c:pt idx="16">
                  <c:v>9.9850000000000008E-2</c:v>
                </c:pt>
                <c:pt idx="17">
                  <c:v>9.9850000000000008E-2</c:v>
                </c:pt>
                <c:pt idx="18">
                  <c:v>9.9850000000000008E-2</c:v>
                </c:pt>
                <c:pt idx="19">
                  <c:v>9.9850000000000008E-2</c:v>
                </c:pt>
                <c:pt idx="20">
                  <c:v>9.9850000000000008E-2</c:v>
                </c:pt>
                <c:pt idx="21">
                  <c:v>9.9850000000000008E-2</c:v>
                </c:pt>
                <c:pt idx="22">
                  <c:v>9.9850000000000008E-2</c:v>
                </c:pt>
                <c:pt idx="23">
                  <c:v>9.9850000000000008E-2</c:v>
                </c:pt>
                <c:pt idx="24">
                  <c:v>9.9850000000000008E-2</c:v>
                </c:pt>
                <c:pt idx="25">
                  <c:v>9.9850000000000008E-2</c:v>
                </c:pt>
                <c:pt idx="26">
                  <c:v>9.9850000000000008E-2</c:v>
                </c:pt>
                <c:pt idx="27">
                  <c:v>9.9850000000000008E-2</c:v>
                </c:pt>
                <c:pt idx="28">
                  <c:v>9.9875000000000005E-2</c:v>
                </c:pt>
                <c:pt idx="29">
                  <c:v>9.9875000000000005E-2</c:v>
                </c:pt>
                <c:pt idx="30">
                  <c:v>9.9875000000000005E-2</c:v>
                </c:pt>
                <c:pt idx="31">
                  <c:v>9.9875000000000005E-2</c:v>
                </c:pt>
                <c:pt idx="32">
                  <c:v>9.9875000000000005E-2</c:v>
                </c:pt>
                <c:pt idx="33">
                  <c:v>9.9875000000000005E-2</c:v>
                </c:pt>
                <c:pt idx="34">
                  <c:v>9.9875000000000005E-2</c:v>
                </c:pt>
                <c:pt idx="35">
                  <c:v>9.9875000000000005E-2</c:v>
                </c:pt>
                <c:pt idx="36">
                  <c:v>9.9875000000000005E-2</c:v>
                </c:pt>
                <c:pt idx="37">
                  <c:v>9.9875000000000005E-2</c:v>
                </c:pt>
                <c:pt idx="38">
                  <c:v>9.9875000000000005E-2</c:v>
                </c:pt>
                <c:pt idx="39">
                  <c:v>9.9875000000000005E-2</c:v>
                </c:pt>
                <c:pt idx="40">
                  <c:v>9.9875000000000005E-2</c:v>
                </c:pt>
                <c:pt idx="41">
                  <c:v>9.9875000000000005E-2</c:v>
                </c:pt>
                <c:pt idx="42">
                  <c:v>9.9875000000000005E-2</c:v>
                </c:pt>
                <c:pt idx="43">
                  <c:v>9.9875000000000005E-2</c:v>
                </c:pt>
                <c:pt idx="44">
                  <c:v>0.1</c:v>
                </c:pt>
                <c:pt idx="45">
                  <c:v>0.10052499999999999</c:v>
                </c:pt>
                <c:pt idx="46">
                  <c:v>0.10122500000000001</c:v>
                </c:pt>
                <c:pt idx="47">
                  <c:v>0.10222500000000001</c:v>
                </c:pt>
                <c:pt idx="48">
                  <c:v>0.103675</c:v>
                </c:pt>
                <c:pt idx="49">
                  <c:v>0.10504999999999999</c:v>
                </c:pt>
                <c:pt idx="50">
                  <c:v>0.10754999999999998</c:v>
                </c:pt>
                <c:pt idx="51">
                  <c:v>0.110025</c:v>
                </c:pt>
                <c:pt idx="52">
                  <c:v>0.11282499999999999</c:v>
                </c:pt>
                <c:pt idx="53">
                  <c:v>0.1169</c:v>
                </c:pt>
                <c:pt idx="54">
                  <c:v>0.12067499999999999</c:v>
                </c:pt>
                <c:pt idx="55">
                  <c:v>0.12497499999999999</c:v>
                </c:pt>
                <c:pt idx="56">
                  <c:v>0.12947500000000001</c:v>
                </c:pt>
                <c:pt idx="57">
                  <c:v>0.13522499999999998</c:v>
                </c:pt>
                <c:pt idx="58">
                  <c:v>0.14377500000000001</c:v>
                </c:pt>
                <c:pt idx="59">
                  <c:v>0.1507</c:v>
                </c:pt>
                <c:pt idx="60">
                  <c:v>0.15865000000000001</c:v>
                </c:pt>
                <c:pt idx="61">
                  <c:v>0.16639999999999996</c:v>
                </c:pt>
                <c:pt idx="62">
                  <c:v>0.17327500000000001</c:v>
                </c:pt>
                <c:pt idx="63">
                  <c:v>0.18037500000000001</c:v>
                </c:pt>
                <c:pt idx="64">
                  <c:v>0.18305000000000002</c:v>
                </c:pt>
                <c:pt idx="65">
                  <c:v>0.19417500000000001</c:v>
                </c:pt>
                <c:pt idx="66">
                  <c:v>0.20449999999999999</c:v>
                </c:pt>
                <c:pt idx="67">
                  <c:v>0.20974999999999999</c:v>
                </c:pt>
                <c:pt idx="68">
                  <c:v>0.21575000000000003</c:v>
                </c:pt>
                <c:pt idx="69">
                  <c:v>0.22374999999999998</c:v>
                </c:pt>
                <c:pt idx="70">
                  <c:v>0.22075</c:v>
                </c:pt>
                <c:pt idx="71">
                  <c:v>0.22650000000000001</c:v>
                </c:pt>
                <c:pt idx="72">
                  <c:v>0.23174999999999998</c:v>
                </c:pt>
                <c:pt idx="73">
                  <c:v>0.24275000000000002</c:v>
                </c:pt>
                <c:pt idx="74">
                  <c:v>0.24725</c:v>
                </c:pt>
                <c:pt idx="75">
                  <c:v>0.24424999999999997</c:v>
                </c:pt>
                <c:pt idx="76">
                  <c:v>0.2475</c:v>
                </c:pt>
                <c:pt idx="77">
                  <c:v>0.24725</c:v>
                </c:pt>
                <c:pt idx="78">
                  <c:v>0.24625</c:v>
                </c:pt>
                <c:pt idx="79">
                  <c:v>0.24275000000000002</c:v>
                </c:pt>
                <c:pt idx="80">
                  <c:v>0.23899999999999999</c:v>
                </c:pt>
                <c:pt idx="81">
                  <c:v>0.23524999999999999</c:v>
                </c:pt>
                <c:pt idx="82">
                  <c:v>0.23350000000000001</c:v>
                </c:pt>
                <c:pt idx="83">
                  <c:v>0.22875000000000001</c:v>
                </c:pt>
                <c:pt idx="84">
                  <c:v>0.23050000000000001</c:v>
                </c:pt>
                <c:pt idx="85">
                  <c:v>0.23174999999999998</c:v>
                </c:pt>
                <c:pt idx="86">
                  <c:v>0.217</c:v>
                </c:pt>
                <c:pt idx="87">
                  <c:v>0.21974999999999997</c:v>
                </c:pt>
                <c:pt idx="88">
                  <c:v>0.21024999999999999</c:v>
                </c:pt>
                <c:pt idx="89">
                  <c:v>0.20599999999999999</c:v>
                </c:pt>
                <c:pt idx="90">
                  <c:v>0.19817499999999999</c:v>
                </c:pt>
                <c:pt idx="91">
                  <c:v>0.19015000000000001</c:v>
                </c:pt>
                <c:pt idx="92">
                  <c:v>0.18102499999999996</c:v>
                </c:pt>
                <c:pt idx="93">
                  <c:v>0.172625</c:v>
                </c:pt>
                <c:pt idx="94">
                  <c:v>0.16492500000000002</c:v>
                </c:pt>
                <c:pt idx="95">
                  <c:v>0.15632499999999999</c:v>
                </c:pt>
                <c:pt idx="96">
                  <c:v>0.14877499999999999</c:v>
                </c:pt>
                <c:pt idx="97">
                  <c:v>0.142625</c:v>
                </c:pt>
                <c:pt idx="98">
                  <c:v>0.13629999999999998</c:v>
                </c:pt>
                <c:pt idx="99">
                  <c:v>0.1308</c:v>
                </c:pt>
                <c:pt idx="100">
                  <c:v>0.12542500000000001</c:v>
                </c:pt>
                <c:pt idx="101">
                  <c:v>0.12064999999999999</c:v>
                </c:pt>
                <c:pt idx="102">
                  <c:v>0.11619999999999998</c:v>
                </c:pt>
                <c:pt idx="103">
                  <c:v>0.11232500000000001</c:v>
                </c:pt>
                <c:pt idx="104">
                  <c:v>0.10920000000000001</c:v>
                </c:pt>
                <c:pt idx="105">
                  <c:v>0.10669999999999999</c:v>
                </c:pt>
                <c:pt idx="106">
                  <c:v>0.10464999999999999</c:v>
                </c:pt>
                <c:pt idx="107">
                  <c:v>0.10305</c:v>
                </c:pt>
                <c:pt idx="108">
                  <c:v>0.10185</c:v>
                </c:pt>
                <c:pt idx="109">
                  <c:v>0.10095</c:v>
                </c:pt>
                <c:pt idx="110">
                  <c:v>0.10039999999999999</c:v>
                </c:pt>
                <c:pt idx="111">
                  <c:v>9.9899999999999989E-2</c:v>
                </c:pt>
                <c:pt idx="112">
                  <c:v>9.9824999999999983E-2</c:v>
                </c:pt>
                <c:pt idx="113">
                  <c:v>9.9850000000000008E-2</c:v>
                </c:pt>
                <c:pt idx="114">
                  <c:v>9.9850000000000008E-2</c:v>
                </c:pt>
                <c:pt idx="115">
                  <c:v>9.9850000000000008E-2</c:v>
                </c:pt>
                <c:pt idx="116">
                  <c:v>9.9850000000000008E-2</c:v>
                </c:pt>
                <c:pt idx="117">
                  <c:v>9.9850000000000008E-2</c:v>
                </c:pt>
                <c:pt idx="118">
                  <c:v>9.9850000000000008E-2</c:v>
                </c:pt>
                <c:pt idx="119">
                  <c:v>9.9850000000000008E-2</c:v>
                </c:pt>
                <c:pt idx="120">
                  <c:v>9.9850000000000008E-2</c:v>
                </c:pt>
                <c:pt idx="121">
                  <c:v>9.9850000000000008E-2</c:v>
                </c:pt>
                <c:pt idx="122">
                  <c:v>9.9850000000000008E-2</c:v>
                </c:pt>
                <c:pt idx="123">
                  <c:v>9.9850000000000008E-2</c:v>
                </c:pt>
                <c:pt idx="124">
                  <c:v>9.9850000000000008E-2</c:v>
                </c:pt>
                <c:pt idx="125">
                  <c:v>9.9850000000000008E-2</c:v>
                </c:pt>
                <c:pt idx="126">
                  <c:v>9.9850000000000008E-2</c:v>
                </c:pt>
                <c:pt idx="127">
                  <c:v>9.9850000000000008E-2</c:v>
                </c:pt>
                <c:pt idx="128">
                  <c:v>9.9850000000000008E-2</c:v>
                </c:pt>
                <c:pt idx="129">
                  <c:v>9.9850000000000008E-2</c:v>
                </c:pt>
                <c:pt idx="130">
                  <c:v>9.9850000000000008E-2</c:v>
                </c:pt>
                <c:pt idx="131">
                  <c:v>9.9850000000000008E-2</c:v>
                </c:pt>
                <c:pt idx="132">
                  <c:v>9.9850000000000008E-2</c:v>
                </c:pt>
                <c:pt idx="133">
                  <c:v>9.9850000000000008E-2</c:v>
                </c:pt>
                <c:pt idx="134">
                  <c:v>9.9850000000000008E-2</c:v>
                </c:pt>
                <c:pt idx="135">
                  <c:v>9.9850000000000008E-2</c:v>
                </c:pt>
                <c:pt idx="136">
                  <c:v>9.9850000000000008E-2</c:v>
                </c:pt>
                <c:pt idx="137">
                  <c:v>9.9850000000000008E-2</c:v>
                </c:pt>
                <c:pt idx="138">
                  <c:v>9.9850000000000008E-2</c:v>
                </c:pt>
                <c:pt idx="139">
                  <c:v>9.9850000000000008E-2</c:v>
                </c:pt>
                <c:pt idx="140">
                  <c:v>9.9850000000000008E-2</c:v>
                </c:pt>
                <c:pt idx="141">
                  <c:v>9.9850000000000008E-2</c:v>
                </c:pt>
                <c:pt idx="142">
                  <c:v>9.9850000000000008E-2</c:v>
                </c:pt>
                <c:pt idx="143">
                  <c:v>9.9850000000000008E-2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3F-4ED6-9E7E-A14F1ACC5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3393375"/>
        <c:axId val="270414095"/>
      </c:lineChart>
      <c:catAx>
        <c:axId val="2233933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0414095"/>
        <c:crosses val="autoZero"/>
        <c:auto val="1"/>
        <c:lblAlgn val="ctr"/>
        <c:lblOffset val="100"/>
        <c:noMultiLvlLbl val="0"/>
      </c:catAx>
      <c:valAx>
        <c:axId val="27041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2339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5</xdr:row>
      <xdr:rowOff>0</xdr:rowOff>
    </xdr:from>
    <xdr:to>
      <xdr:col>18</xdr:col>
      <xdr:colOff>609600</xdr:colOff>
      <xdr:row>20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D0DB2ED-B90A-416C-B08D-05578F109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5"/>
  <sheetViews>
    <sheetView tabSelected="1" workbookViewId="0">
      <selection activeCell="L6" sqref="L6"/>
    </sheetView>
  </sheetViews>
  <sheetFormatPr baseColWidth="10" defaultRowHeight="14.4" x14ac:dyDescent="0.3"/>
  <cols>
    <col min="1" max="1" width="23.77734375" customWidth="1"/>
    <col min="3" max="3" width="15.21875" customWidth="1"/>
    <col min="10" max="10" width="18.5546875" customWidth="1"/>
    <col min="11" max="13" width="18.77734375" customWidth="1"/>
  </cols>
  <sheetData>
    <row r="1" spans="1:28" x14ac:dyDescent="0.3">
      <c r="A1" t="s">
        <v>0</v>
      </c>
      <c r="B1" t="s">
        <v>1</v>
      </c>
      <c r="C1" t="s">
        <v>2</v>
      </c>
      <c r="D1">
        <v>23644</v>
      </c>
      <c r="E1" t="s">
        <v>3</v>
      </c>
      <c r="F1" t="s">
        <v>4</v>
      </c>
      <c r="G1">
        <v>33014</v>
      </c>
      <c r="I1" t="s">
        <v>5</v>
      </c>
    </row>
    <row r="2" spans="1:28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I2" t="s">
        <v>13</v>
      </c>
      <c r="J2" s="2" t="s">
        <v>46</v>
      </c>
      <c r="K2" s="2"/>
      <c r="L2" s="2"/>
      <c r="M2" s="2"/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</row>
    <row r="3" spans="1:28" x14ac:dyDescent="0.3">
      <c r="A3" t="s">
        <v>29</v>
      </c>
      <c r="B3" t="s">
        <v>30</v>
      </c>
      <c r="C3" t="s">
        <v>31</v>
      </c>
      <c r="D3" t="s">
        <v>32</v>
      </c>
      <c r="E3" t="s">
        <v>32</v>
      </c>
      <c r="F3" t="s">
        <v>32</v>
      </c>
      <c r="G3" t="s">
        <v>32</v>
      </c>
      <c r="I3" t="s">
        <v>33</v>
      </c>
      <c r="J3" s="2" t="s">
        <v>31</v>
      </c>
      <c r="K3" s="2" t="s">
        <v>33</v>
      </c>
      <c r="L3" s="2"/>
      <c r="M3" s="2"/>
      <c r="N3" t="s">
        <v>34</v>
      </c>
      <c r="O3" t="s">
        <v>34</v>
      </c>
      <c r="P3" t="s">
        <v>34</v>
      </c>
      <c r="Q3" t="s">
        <v>34</v>
      </c>
      <c r="R3" t="s">
        <v>35</v>
      </c>
      <c r="S3" t="s">
        <v>35</v>
      </c>
      <c r="T3" t="s">
        <v>35</v>
      </c>
      <c r="U3" t="s">
        <v>35</v>
      </c>
      <c r="V3" t="s">
        <v>36</v>
      </c>
      <c r="W3" t="s">
        <v>36</v>
      </c>
      <c r="X3" t="s">
        <v>36</v>
      </c>
      <c r="Y3" t="s">
        <v>36</v>
      </c>
      <c r="Z3" t="s">
        <v>37</v>
      </c>
      <c r="AA3" t="s">
        <v>38</v>
      </c>
      <c r="AB3" t="s">
        <v>39</v>
      </c>
    </row>
    <row r="4" spans="1:28" x14ac:dyDescent="0.3">
      <c r="C4" t="s">
        <v>40</v>
      </c>
      <c r="D4" t="s">
        <v>41</v>
      </c>
      <c r="E4" t="s">
        <v>41</v>
      </c>
      <c r="F4" t="s">
        <v>41</v>
      </c>
      <c r="G4" t="s">
        <v>41</v>
      </c>
      <c r="I4" t="s">
        <v>41</v>
      </c>
      <c r="J4" s="2" t="s">
        <v>32</v>
      </c>
      <c r="K4" s="2" t="s">
        <v>47</v>
      </c>
      <c r="N4" t="s">
        <v>41</v>
      </c>
      <c r="O4" t="s">
        <v>42</v>
      </c>
      <c r="P4" t="s">
        <v>40</v>
      </c>
      <c r="Q4" t="s">
        <v>43</v>
      </c>
      <c r="R4" t="s">
        <v>41</v>
      </c>
      <c r="S4" t="s">
        <v>42</v>
      </c>
      <c r="T4" t="s">
        <v>40</v>
      </c>
      <c r="U4" t="s">
        <v>43</v>
      </c>
      <c r="V4" t="s">
        <v>41</v>
      </c>
      <c r="W4" t="s">
        <v>42</v>
      </c>
      <c r="X4" t="s">
        <v>40</v>
      </c>
      <c r="Y4" t="s">
        <v>43</v>
      </c>
      <c r="Z4" t="s">
        <v>44</v>
      </c>
      <c r="AA4" t="s">
        <v>41</v>
      </c>
      <c r="AB4" t="s">
        <v>45</v>
      </c>
    </row>
    <row r="5" spans="1:28" x14ac:dyDescent="0.3">
      <c r="A5" s="1"/>
      <c r="K5" s="2" t="s">
        <v>48</v>
      </c>
      <c r="L5">
        <v>40</v>
      </c>
    </row>
    <row r="6" spans="1:28" x14ac:dyDescent="0.3">
      <c r="A6" s="1">
        <v>44947</v>
      </c>
      <c r="B6">
        <v>44</v>
      </c>
      <c r="C6">
        <v>10.33</v>
      </c>
      <c r="D6">
        <v>0</v>
      </c>
      <c r="E6">
        <v>2.1999999999999999E-2</v>
      </c>
      <c r="F6">
        <v>0</v>
      </c>
      <c r="G6">
        <v>0</v>
      </c>
      <c r="I6">
        <v>3.9940000000000002</v>
      </c>
      <c r="J6">
        <f>(I6/0.04)/1000</f>
        <v>9.9850000000000008E-2</v>
      </c>
      <c r="K6">
        <f>J6*$L$5</f>
        <v>3.9940000000000002</v>
      </c>
      <c r="N6">
        <v>19.260000000000002</v>
      </c>
      <c r="O6">
        <v>19.64</v>
      </c>
      <c r="P6">
        <v>18.95</v>
      </c>
      <c r="Q6">
        <v>0.186</v>
      </c>
      <c r="R6">
        <v>56.93</v>
      </c>
      <c r="S6">
        <v>57.9</v>
      </c>
      <c r="T6">
        <v>55.31</v>
      </c>
      <c r="U6">
        <v>0.64700000000000002</v>
      </c>
      <c r="V6">
        <v>1.2589999999999999</v>
      </c>
      <c r="W6">
        <v>2.4500000000000002</v>
      </c>
      <c r="X6">
        <v>0</v>
      </c>
      <c r="Y6">
        <v>0.56100000000000005</v>
      </c>
      <c r="Z6">
        <v>1.79</v>
      </c>
      <c r="AA6">
        <v>877.50599999999997</v>
      </c>
      <c r="AB6">
        <v>0</v>
      </c>
    </row>
    <row r="7" spans="1:28" x14ac:dyDescent="0.3">
      <c r="A7" s="1">
        <v>44947.006944444445</v>
      </c>
      <c r="B7">
        <v>45</v>
      </c>
      <c r="C7">
        <v>10.31</v>
      </c>
      <c r="D7">
        <v>0</v>
      </c>
      <c r="E7">
        <v>0.01</v>
      </c>
      <c r="F7">
        <v>0</v>
      </c>
      <c r="G7">
        <v>0</v>
      </c>
      <c r="I7">
        <v>3.9940000000000002</v>
      </c>
      <c r="J7">
        <f t="shared" ref="J7:J70" si="0">(I7/0.04)/1000</f>
        <v>9.9850000000000008E-2</v>
      </c>
      <c r="K7">
        <f t="shared" ref="K7:K70" si="1">J7*$L$5</f>
        <v>3.9940000000000002</v>
      </c>
      <c r="N7">
        <v>18.84</v>
      </c>
      <c r="O7">
        <v>19.190000000000001</v>
      </c>
      <c r="P7">
        <v>18.54</v>
      </c>
      <c r="Q7">
        <v>0.17799999999999999</v>
      </c>
      <c r="R7">
        <v>58.35</v>
      </c>
      <c r="S7">
        <v>59.57</v>
      </c>
      <c r="T7">
        <v>57.22</v>
      </c>
      <c r="U7">
        <v>0.69</v>
      </c>
      <c r="V7">
        <v>1.9850000000000001</v>
      </c>
      <c r="W7">
        <v>2.4500000000000002</v>
      </c>
      <c r="X7">
        <v>0.95</v>
      </c>
      <c r="Y7">
        <v>0.38200000000000001</v>
      </c>
      <c r="Z7">
        <v>1.9359999999999999</v>
      </c>
      <c r="AA7">
        <v>877.41600000000005</v>
      </c>
      <c r="AB7">
        <v>0</v>
      </c>
    </row>
    <row r="8" spans="1:28" x14ac:dyDescent="0.3">
      <c r="A8" s="1">
        <v>44947.013888888891</v>
      </c>
      <c r="B8">
        <v>46</v>
      </c>
      <c r="C8">
        <v>10.31</v>
      </c>
      <c r="D8">
        <v>0</v>
      </c>
      <c r="E8">
        <v>4.1000000000000002E-2</v>
      </c>
      <c r="F8">
        <v>0</v>
      </c>
      <c r="G8">
        <v>0</v>
      </c>
      <c r="I8">
        <v>3.9940000000000002</v>
      </c>
      <c r="J8">
        <f t="shared" si="0"/>
        <v>9.9850000000000008E-2</v>
      </c>
      <c r="K8">
        <f t="shared" si="1"/>
        <v>3.9940000000000002</v>
      </c>
      <c r="N8">
        <v>18.78</v>
      </c>
      <c r="O8">
        <v>18.95</v>
      </c>
      <c r="P8">
        <v>18.579999999999998</v>
      </c>
      <c r="Q8">
        <v>6.5000000000000002E-2</v>
      </c>
      <c r="R8">
        <v>58.27</v>
      </c>
      <c r="S8">
        <v>58.95</v>
      </c>
      <c r="T8">
        <v>57.69</v>
      </c>
      <c r="U8">
        <v>0.308</v>
      </c>
      <c r="V8">
        <v>2.2109999999999999</v>
      </c>
      <c r="W8">
        <v>3.2</v>
      </c>
      <c r="X8">
        <v>1.7</v>
      </c>
      <c r="Y8">
        <v>0.38500000000000001</v>
      </c>
      <c r="Z8">
        <v>1.96</v>
      </c>
      <c r="AA8">
        <v>877.4896</v>
      </c>
      <c r="AB8">
        <v>0</v>
      </c>
    </row>
    <row r="9" spans="1:28" x14ac:dyDescent="0.3">
      <c r="A9" s="1">
        <v>44947.020833333336</v>
      </c>
      <c r="B9">
        <v>47</v>
      </c>
      <c r="C9">
        <v>10.3</v>
      </c>
      <c r="D9">
        <v>0</v>
      </c>
      <c r="E9">
        <v>2.1999999999999999E-2</v>
      </c>
      <c r="F9">
        <v>0</v>
      </c>
      <c r="G9">
        <v>0</v>
      </c>
      <c r="I9">
        <v>3.9940000000000002</v>
      </c>
      <c r="J9">
        <f t="shared" si="0"/>
        <v>9.9850000000000008E-2</v>
      </c>
      <c r="K9">
        <f t="shared" si="1"/>
        <v>3.9940000000000002</v>
      </c>
      <c r="N9">
        <v>18.440000000000001</v>
      </c>
      <c r="O9">
        <v>18.72</v>
      </c>
      <c r="P9">
        <v>18.170000000000002</v>
      </c>
      <c r="Q9">
        <v>0.11</v>
      </c>
      <c r="R9">
        <v>59.64</v>
      </c>
      <c r="S9">
        <v>60.59</v>
      </c>
      <c r="T9">
        <v>58.72</v>
      </c>
      <c r="U9">
        <v>0.45400000000000001</v>
      </c>
      <c r="V9">
        <v>2.39</v>
      </c>
      <c r="W9">
        <v>3.2</v>
      </c>
      <c r="X9">
        <v>1.7</v>
      </c>
      <c r="Y9">
        <v>0.36199999999999999</v>
      </c>
      <c r="Z9">
        <v>1.96</v>
      </c>
      <c r="AA9">
        <v>877.39149999999995</v>
      </c>
      <c r="AB9">
        <v>0</v>
      </c>
    </row>
    <row r="10" spans="1:28" x14ac:dyDescent="0.3">
      <c r="A10" s="1">
        <v>44947.027777777781</v>
      </c>
      <c r="B10">
        <v>48</v>
      </c>
      <c r="C10">
        <v>10.3</v>
      </c>
      <c r="D10">
        <v>0</v>
      </c>
      <c r="E10">
        <v>0.104</v>
      </c>
      <c r="F10">
        <v>0</v>
      </c>
      <c r="G10">
        <v>0</v>
      </c>
      <c r="I10">
        <v>3.9940000000000002</v>
      </c>
      <c r="J10">
        <f t="shared" si="0"/>
        <v>9.9850000000000008E-2</v>
      </c>
      <c r="K10">
        <f t="shared" si="1"/>
        <v>3.9940000000000002</v>
      </c>
      <c r="N10">
        <v>18.7</v>
      </c>
      <c r="O10">
        <v>18.89</v>
      </c>
      <c r="P10">
        <v>18.48</v>
      </c>
      <c r="Q10">
        <v>8.2000000000000003E-2</v>
      </c>
      <c r="R10">
        <v>58.87</v>
      </c>
      <c r="S10">
        <v>59.81</v>
      </c>
      <c r="T10">
        <v>58.34</v>
      </c>
      <c r="U10">
        <v>0.39400000000000002</v>
      </c>
      <c r="V10">
        <v>2.2639999999999998</v>
      </c>
      <c r="W10">
        <v>3.2</v>
      </c>
      <c r="X10">
        <v>0.95</v>
      </c>
      <c r="Y10">
        <v>0.42399999999999999</v>
      </c>
      <c r="Z10">
        <v>1.911</v>
      </c>
      <c r="AA10">
        <v>877.36689999999999</v>
      </c>
      <c r="AB10">
        <v>0</v>
      </c>
    </row>
    <row r="11" spans="1:28" x14ac:dyDescent="0.3">
      <c r="A11" s="1">
        <v>44947.034722222219</v>
      </c>
      <c r="B11">
        <v>49</v>
      </c>
      <c r="C11">
        <v>10.29</v>
      </c>
      <c r="D11">
        <v>0</v>
      </c>
      <c r="E11">
        <v>0.107</v>
      </c>
      <c r="F11">
        <v>0</v>
      </c>
      <c r="G11">
        <v>0</v>
      </c>
      <c r="I11">
        <v>3.9940000000000002</v>
      </c>
      <c r="J11">
        <f t="shared" si="0"/>
        <v>9.9850000000000008E-2</v>
      </c>
      <c r="K11">
        <f t="shared" si="1"/>
        <v>3.9940000000000002</v>
      </c>
      <c r="N11">
        <v>18.760000000000002</v>
      </c>
      <c r="O11">
        <v>19.09</v>
      </c>
      <c r="P11">
        <v>18.510000000000002</v>
      </c>
      <c r="Q11">
        <v>0.13400000000000001</v>
      </c>
      <c r="R11">
        <v>58.96</v>
      </c>
      <c r="S11">
        <v>59.98</v>
      </c>
      <c r="T11">
        <v>57.9</v>
      </c>
      <c r="U11">
        <v>0.55500000000000005</v>
      </c>
      <c r="V11">
        <v>2.4089999999999998</v>
      </c>
      <c r="W11">
        <v>3.2</v>
      </c>
      <c r="X11">
        <v>1.7</v>
      </c>
      <c r="Y11">
        <v>0.308</v>
      </c>
      <c r="Z11">
        <v>1.911</v>
      </c>
      <c r="AA11">
        <v>877.30150000000003</v>
      </c>
      <c r="AB11">
        <v>0</v>
      </c>
    </row>
    <row r="12" spans="1:28" x14ac:dyDescent="0.3">
      <c r="A12" s="1">
        <v>44947.041666666664</v>
      </c>
      <c r="B12">
        <v>50</v>
      </c>
      <c r="C12">
        <v>10.28</v>
      </c>
      <c r="D12">
        <v>0</v>
      </c>
      <c r="E12">
        <v>0.03</v>
      </c>
      <c r="F12">
        <v>0</v>
      </c>
      <c r="G12">
        <v>0</v>
      </c>
      <c r="I12">
        <v>3.9940000000000002</v>
      </c>
      <c r="J12">
        <f t="shared" si="0"/>
        <v>9.9850000000000008E-2</v>
      </c>
      <c r="K12">
        <f t="shared" si="1"/>
        <v>3.9940000000000002</v>
      </c>
      <c r="N12">
        <v>18.510000000000002</v>
      </c>
      <c r="O12">
        <v>18.850000000000001</v>
      </c>
      <c r="P12">
        <v>18.2</v>
      </c>
      <c r="Q12">
        <v>0.13500000000000001</v>
      </c>
      <c r="R12">
        <v>60.1</v>
      </c>
      <c r="S12">
        <v>61.17</v>
      </c>
      <c r="T12">
        <v>59.16</v>
      </c>
      <c r="U12">
        <v>0.55600000000000005</v>
      </c>
      <c r="V12">
        <v>2.3340000000000001</v>
      </c>
      <c r="W12">
        <v>3.2</v>
      </c>
      <c r="X12">
        <v>1.7</v>
      </c>
      <c r="Y12">
        <v>0.30099999999999999</v>
      </c>
      <c r="Z12">
        <v>1.9359999999999999</v>
      </c>
      <c r="AA12">
        <v>877.2115</v>
      </c>
      <c r="AB12">
        <v>0</v>
      </c>
    </row>
    <row r="13" spans="1:28" x14ac:dyDescent="0.3">
      <c r="A13" s="1">
        <v>44947.048611111109</v>
      </c>
      <c r="B13">
        <v>51</v>
      </c>
      <c r="C13">
        <v>10.28</v>
      </c>
      <c r="D13">
        <v>0</v>
      </c>
      <c r="E13">
        <v>6.8000000000000005E-2</v>
      </c>
      <c r="F13">
        <v>0</v>
      </c>
      <c r="G13">
        <v>0</v>
      </c>
      <c r="I13">
        <v>3.9940000000000002</v>
      </c>
      <c r="J13">
        <f t="shared" si="0"/>
        <v>9.9850000000000008E-2</v>
      </c>
      <c r="K13">
        <f t="shared" si="1"/>
        <v>3.9940000000000002</v>
      </c>
      <c r="N13">
        <v>18.77</v>
      </c>
      <c r="O13">
        <v>19.059999999999999</v>
      </c>
      <c r="P13">
        <v>18.440000000000001</v>
      </c>
      <c r="Q13">
        <v>0.155</v>
      </c>
      <c r="R13">
        <v>59.29</v>
      </c>
      <c r="S13">
        <v>60.39</v>
      </c>
      <c r="T13">
        <v>58.31</v>
      </c>
      <c r="U13">
        <v>0.53600000000000003</v>
      </c>
      <c r="V13">
        <v>2.1349999999999998</v>
      </c>
      <c r="W13">
        <v>3.2</v>
      </c>
      <c r="X13">
        <v>1.7</v>
      </c>
      <c r="Y13">
        <v>0.375</v>
      </c>
      <c r="Z13">
        <v>1.887</v>
      </c>
      <c r="AA13">
        <v>877.19529999999997</v>
      </c>
      <c r="AB13">
        <v>0</v>
      </c>
    </row>
    <row r="14" spans="1:28" x14ac:dyDescent="0.3">
      <c r="A14" s="1">
        <v>44947.055555555555</v>
      </c>
      <c r="B14">
        <v>52</v>
      </c>
      <c r="C14">
        <v>10.27</v>
      </c>
      <c r="D14">
        <v>0</v>
      </c>
      <c r="E14">
        <v>8.9999999999999993E-3</v>
      </c>
      <c r="F14">
        <v>0</v>
      </c>
      <c r="G14">
        <v>0</v>
      </c>
      <c r="I14">
        <v>3.9940000000000002</v>
      </c>
      <c r="J14">
        <f t="shared" si="0"/>
        <v>9.9850000000000008E-2</v>
      </c>
      <c r="K14">
        <f t="shared" si="1"/>
        <v>3.9940000000000002</v>
      </c>
      <c r="N14">
        <v>18.45</v>
      </c>
      <c r="O14">
        <v>18.78</v>
      </c>
      <c r="P14">
        <v>18.07</v>
      </c>
      <c r="Q14">
        <v>0.18</v>
      </c>
      <c r="R14">
        <v>60.66</v>
      </c>
      <c r="S14">
        <v>61.92</v>
      </c>
      <c r="T14">
        <v>59.6</v>
      </c>
      <c r="U14">
        <v>0.65100000000000002</v>
      </c>
      <c r="V14">
        <v>2.42</v>
      </c>
      <c r="W14">
        <v>3.2</v>
      </c>
      <c r="X14">
        <v>1.7</v>
      </c>
      <c r="Y14">
        <v>0.317</v>
      </c>
      <c r="Z14">
        <v>1.911</v>
      </c>
      <c r="AA14">
        <v>877.19529999999997</v>
      </c>
      <c r="AB14">
        <v>0</v>
      </c>
    </row>
    <row r="15" spans="1:28" x14ac:dyDescent="0.3">
      <c r="A15" s="1">
        <v>44947.0625</v>
      </c>
      <c r="B15">
        <v>53</v>
      </c>
      <c r="C15">
        <v>10.26</v>
      </c>
      <c r="D15">
        <v>0</v>
      </c>
      <c r="E15">
        <v>1E-3</v>
      </c>
      <c r="F15">
        <v>0</v>
      </c>
      <c r="G15">
        <v>0</v>
      </c>
      <c r="I15">
        <v>3.9940000000000002</v>
      </c>
      <c r="J15">
        <f t="shared" si="0"/>
        <v>9.9850000000000008E-2</v>
      </c>
      <c r="K15">
        <f t="shared" si="1"/>
        <v>3.9940000000000002</v>
      </c>
      <c r="N15">
        <v>18.07</v>
      </c>
      <c r="O15">
        <v>18.2</v>
      </c>
      <c r="P15">
        <v>17.93</v>
      </c>
      <c r="Q15">
        <v>4.5999999999999999E-2</v>
      </c>
      <c r="R15">
        <v>62.3</v>
      </c>
      <c r="S15">
        <v>62.67</v>
      </c>
      <c r="T15">
        <v>61.75</v>
      </c>
      <c r="U15">
        <v>0.16400000000000001</v>
      </c>
      <c r="V15">
        <v>2.4510000000000001</v>
      </c>
      <c r="W15">
        <v>3.95</v>
      </c>
      <c r="X15">
        <v>1.7</v>
      </c>
      <c r="Y15">
        <v>0.46100000000000002</v>
      </c>
      <c r="Z15">
        <v>1.9359999999999999</v>
      </c>
      <c r="AA15">
        <v>877.19529999999997</v>
      </c>
      <c r="AB15">
        <v>0</v>
      </c>
    </row>
    <row r="16" spans="1:28" x14ac:dyDescent="0.3">
      <c r="A16" s="1">
        <v>44947.069444444445</v>
      </c>
      <c r="B16">
        <v>54</v>
      </c>
      <c r="C16">
        <v>10.24</v>
      </c>
      <c r="D16">
        <v>0</v>
      </c>
      <c r="E16">
        <v>8.9999999999999993E-3</v>
      </c>
      <c r="F16">
        <v>0</v>
      </c>
      <c r="G16">
        <v>0</v>
      </c>
      <c r="I16">
        <v>3.9940000000000002</v>
      </c>
      <c r="J16">
        <f t="shared" si="0"/>
        <v>9.9850000000000008E-2</v>
      </c>
      <c r="K16">
        <f t="shared" si="1"/>
        <v>3.9940000000000002</v>
      </c>
      <c r="N16">
        <v>17.95</v>
      </c>
      <c r="O16">
        <v>18.170000000000002</v>
      </c>
      <c r="P16">
        <v>17.760000000000002</v>
      </c>
      <c r="Q16">
        <v>7.6999999999999999E-2</v>
      </c>
      <c r="R16">
        <v>62.84</v>
      </c>
      <c r="S16">
        <v>63.28</v>
      </c>
      <c r="T16">
        <v>62.26</v>
      </c>
      <c r="U16">
        <v>0.23400000000000001</v>
      </c>
      <c r="V16">
        <v>2.7240000000000002</v>
      </c>
      <c r="W16">
        <v>3.95</v>
      </c>
      <c r="X16">
        <v>1.7</v>
      </c>
      <c r="Y16">
        <v>0.38900000000000001</v>
      </c>
      <c r="Z16">
        <v>1.863</v>
      </c>
      <c r="AA16">
        <v>877.18709999999999</v>
      </c>
      <c r="AB16">
        <v>0</v>
      </c>
    </row>
    <row r="17" spans="1:28" x14ac:dyDescent="0.3">
      <c r="A17" s="1">
        <v>44947.076388888891</v>
      </c>
      <c r="B17">
        <v>55</v>
      </c>
      <c r="C17">
        <v>10.23</v>
      </c>
      <c r="D17">
        <v>0</v>
      </c>
      <c r="E17">
        <v>7.0000000000000001E-3</v>
      </c>
      <c r="F17">
        <v>0</v>
      </c>
      <c r="G17">
        <v>0</v>
      </c>
      <c r="I17">
        <v>3.9940000000000002</v>
      </c>
      <c r="J17">
        <f t="shared" si="0"/>
        <v>9.9850000000000008E-2</v>
      </c>
      <c r="K17">
        <f t="shared" si="1"/>
        <v>3.9940000000000002</v>
      </c>
      <c r="N17">
        <v>17.899999999999999</v>
      </c>
      <c r="O17">
        <v>18.239999999999998</v>
      </c>
      <c r="P17">
        <v>17.52</v>
      </c>
      <c r="Q17">
        <v>0.154</v>
      </c>
      <c r="R17">
        <v>63.25</v>
      </c>
      <c r="S17">
        <v>64.41</v>
      </c>
      <c r="T17">
        <v>62.12</v>
      </c>
      <c r="U17">
        <v>0.622</v>
      </c>
      <c r="V17">
        <v>2.23</v>
      </c>
      <c r="W17">
        <v>3.2</v>
      </c>
      <c r="X17">
        <v>0.95</v>
      </c>
      <c r="Y17">
        <v>0.375</v>
      </c>
      <c r="Z17">
        <v>1.9359999999999999</v>
      </c>
      <c r="AA17">
        <v>877.15430000000003</v>
      </c>
      <c r="AB17">
        <v>0</v>
      </c>
    </row>
    <row r="18" spans="1:28" x14ac:dyDescent="0.3">
      <c r="A18" s="1">
        <v>44947.083333333336</v>
      </c>
      <c r="B18">
        <v>56</v>
      </c>
      <c r="C18">
        <v>10.23</v>
      </c>
      <c r="D18">
        <v>0</v>
      </c>
      <c r="E18">
        <v>4.1000000000000002E-2</v>
      </c>
      <c r="F18">
        <v>0</v>
      </c>
      <c r="G18">
        <v>0</v>
      </c>
      <c r="I18">
        <v>3.9940000000000002</v>
      </c>
      <c r="J18">
        <f t="shared" si="0"/>
        <v>9.9850000000000008E-2</v>
      </c>
      <c r="K18">
        <f t="shared" si="1"/>
        <v>3.9940000000000002</v>
      </c>
      <c r="N18">
        <v>17.53</v>
      </c>
      <c r="O18">
        <v>17.899999999999999</v>
      </c>
      <c r="P18">
        <v>17.28</v>
      </c>
      <c r="Q18">
        <v>0.14000000000000001</v>
      </c>
      <c r="R18">
        <v>64.67</v>
      </c>
      <c r="S18">
        <v>65.430000000000007</v>
      </c>
      <c r="T18">
        <v>63.45</v>
      </c>
      <c r="U18">
        <v>0.51300000000000001</v>
      </c>
      <c r="V18">
        <v>2.194</v>
      </c>
      <c r="W18">
        <v>3.2</v>
      </c>
      <c r="X18">
        <v>1.7</v>
      </c>
      <c r="Y18">
        <v>0.36599999999999999</v>
      </c>
      <c r="Z18">
        <v>1.863</v>
      </c>
      <c r="AA18">
        <v>877.03959999999995</v>
      </c>
      <c r="AB18">
        <v>0</v>
      </c>
    </row>
    <row r="19" spans="1:28" x14ac:dyDescent="0.3">
      <c r="A19" s="1">
        <v>44947.090277777781</v>
      </c>
      <c r="B19">
        <v>57</v>
      </c>
      <c r="C19">
        <v>10.23</v>
      </c>
      <c r="D19">
        <v>0</v>
      </c>
      <c r="E19">
        <v>1.0999999999999999E-2</v>
      </c>
      <c r="F19">
        <v>0</v>
      </c>
      <c r="G19">
        <v>0</v>
      </c>
      <c r="I19">
        <v>3.9940000000000002</v>
      </c>
      <c r="J19">
        <f t="shared" si="0"/>
        <v>9.9850000000000008E-2</v>
      </c>
      <c r="K19">
        <f t="shared" si="1"/>
        <v>3.9940000000000002</v>
      </c>
      <c r="N19">
        <v>17.7</v>
      </c>
      <c r="O19">
        <v>17.93</v>
      </c>
      <c r="P19">
        <v>17.559999999999999</v>
      </c>
      <c r="Q19">
        <v>7.0999999999999994E-2</v>
      </c>
      <c r="R19">
        <v>64.150000000000006</v>
      </c>
      <c r="S19">
        <v>64.510000000000005</v>
      </c>
      <c r="T19">
        <v>63.55</v>
      </c>
      <c r="U19">
        <v>0.26500000000000001</v>
      </c>
      <c r="V19">
        <v>2.3439999999999999</v>
      </c>
      <c r="W19">
        <v>3.2</v>
      </c>
      <c r="X19">
        <v>1.7</v>
      </c>
      <c r="Y19">
        <v>0.36099999999999999</v>
      </c>
      <c r="Z19">
        <v>1.887</v>
      </c>
      <c r="AA19">
        <v>876.9171</v>
      </c>
      <c r="AB19">
        <v>0</v>
      </c>
    </row>
    <row r="20" spans="1:28" x14ac:dyDescent="0.3">
      <c r="A20" s="1">
        <v>44947.097222222219</v>
      </c>
      <c r="B20">
        <v>58</v>
      </c>
      <c r="C20">
        <v>10.23</v>
      </c>
      <c r="D20">
        <v>0</v>
      </c>
      <c r="E20">
        <v>5.0000000000000001E-3</v>
      </c>
      <c r="F20">
        <v>0</v>
      </c>
      <c r="G20">
        <v>0</v>
      </c>
      <c r="I20">
        <v>3.9940000000000002</v>
      </c>
      <c r="J20">
        <f t="shared" si="0"/>
        <v>9.9850000000000008E-2</v>
      </c>
      <c r="K20">
        <f t="shared" si="1"/>
        <v>3.9940000000000002</v>
      </c>
      <c r="N20">
        <v>17.48</v>
      </c>
      <c r="O20">
        <v>17.73</v>
      </c>
      <c r="P20">
        <v>17.32</v>
      </c>
      <c r="Q20">
        <v>0.104</v>
      </c>
      <c r="R20">
        <v>65.09</v>
      </c>
      <c r="S20">
        <v>65.599999999999994</v>
      </c>
      <c r="T20">
        <v>64.34</v>
      </c>
      <c r="U20">
        <v>0.376</v>
      </c>
      <c r="V20">
        <v>2.2389999999999999</v>
      </c>
      <c r="W20">
        <v>2.4500000000000002</v>
      </c>
      <c r="X20">
        <v>1.7</v>
      </c>
      <c r="Y20">
        <v>0.33700000000000002</v>
      </c>
      <c r="Z20">
        <v>1.863</v>
      </c>
      <c r="AA20">
        <v>876.86810000000003</v>
      </c>
      <c r="AB20">
        <v>0</v>
      </c>
    </row>
    <row r="21" spans="1:28" x14ac:dyDescent="0.3">
      <c r="A21" s="1">
        <v>44947.104166666664</v>
      </c>
      <c r="B21">
        <v>59</v>
      </c>
      <c r="C21">
        <v>10.220000000000001</v>
      </c>
      <c r="D21">
        <v>0</v>
      </c>
      <c r="E21">
        <v>1.4999999999999999E-2</v>
      </c>
      <c r="F21">
        <v>0</v>
      </c>
      <c r="G21">
        <v>0</v>
      </c>
      <c r="I21">
        <v>3.9940000000000002</v>
      </c>
      <c r="J21">
        <f t="shared" si="0"/>
        <v>9.9850000000000008E-2</v>
      </c>
      <c r="K21">
        <f t="shared" si="1"/>
        <v>3.9940000000000002</v>
      </c>
      <c r="N21">
        <v>17.45</v>
      </c>
      <c r="O21">
        <v>17.59</v>
      </c>
      <c r="P21">
        <v>17.28</v>
      </c>
      <c r="Q21">
        <v>0.05</v>
      </c>
      <c r="R21">
        <v>65.22</v>
      </c>
      <c r="S21">
        <v>65.53</v>
      </c>
      <c r="T21">
        <v>64.88</v>
      </c>
      <c r="U21">
        <v>0.124</v>
      </c>
      <c r="V21">
        <v>2.363</v>
      </c>
      <c r="W21">
        <v>3.2</v>
      </c>
      <c r="X21">
        <v>0.95</v>
      </c>
      <c r="Y21">
        <v>0.38500000000000001</v>
      </c>
      <c r="Z21">
        <v>1.839</v>
      </c>
      <c r="AA21">
        <v>876.85979999999995</v>
      </c>
      <c r="AB21">
        <v>0</v>
      </c>
    </row>
    <row r="22" spans="1:28" x14ac:dyDescent="0.3">
      <c r="A22" s="1">
        <v>44947.111111111109</v>
      </c>
      <c r="B22">
        <v>60</v>
      </c>
      <c r="C22">
        <v>10.210000000000001</v>
      </c>
      <c r="D22">
        <v>0</v>
      </c>
      <c r="E22">
        <v>0.01</v>
      </c>
      <c r="F22">
        <v>0</v>
      </c>
      <c r="G22">
        <v>0</v>
      </c>
      <c r="I22">
        <v>3.9940000000000002</v>
      </c>
      <c r="J22">
        <f t="shared" si="0"/>
        <v>9.9850000000000008E-2</v>
      </c>
      <c r="K22">
        <f t="shared" si="1"/>
        <v>3.9940000000000002</v>
      </c>
      <c r="N22">
        <v>17.260000000000002</v>
      </c>
      <c r="O22">
        <v>17.45</v>
      </c>
      <c r="P22">
        <v>17.079999999999998</v>
      </c>
      <c r="Q22">
        <v>8.4000000000000005E-2</v>
      </c>
      <c r="R22">
        <v>65.83</v>
      </c>
      <c r="S22">
        <v>66.25</v>
      </c>
      <c r="T22">
        <v>65.290000000000006</v>
      </c>
      <c r="U22">
        <v>0.23799999999999999</v>
      </c>
      <c r="V22">
        <v>2.6040000000000001</v>
      </c>
      <c r="W22">
        <v>3.2</v>
      </c>
      <c r="X22">
        <v>1.7</v>
      </c>
      <c r="Y22">
        <v>0.33500000000000002</v>
      </c>
      <c r="Z22">
        <v>1.839</v>
      </c>
      <c r="AA22">
        <v>876.71590000000003</v>
      </c>
      <c r="AB22">
        <v>0</v>
      </c>
    </row>
    <row r="23" spans="1:28" x14ac:dyDescent="0.3">
      <c r="A23" s="1">
        <v>44947.118055555555</v>
      </c>
      <c r="B23">
        <v>61</v>
      </c>
      <c r="C23">
        <v>10.220000000000001</v>
      </c>
      <c r="D23">
        <v>0</v>
      </c>
      <c r="E23">
        <v>1.2E-2</v>
      </c>
      <c r="F23">
        <v>0</v>
      </c>
      <c r="G23">
        <v>0</v>
      </c>
      <c r="I23">
        <v>3.9940000000000002</v>
      </c>
      <c r="J23">
        <f t="shared" si="0"/>
        <v>9.9850000000000008E-2</v>
      </c>
      <c r="K23">
        <f t="shared" si="1"/>
        <v>3.9940000000000002</v>
      </c>
      <c r="N23">
        <v>17.27</v>
      </c>
      <c r="O23">
        <v>17.46</v>
      </c>
      <c r="P23">
        <v>17.12</v>
      </c>
      <c r="Q23">
        <v>7.0000000000000007E-2</v>
      </c>
      <c r="R23">
        <v>65.459999999999994</v>
      </c>
      <c r="S23">
        <v>65.87</v>
      </c>
      <c r="T23">
        <v>64.849999999999994</v>
      </c>
      <c r="U23">
        <v>0.23699999999999999</v>
      </c>
      <c r="V23">
        <v>2.4550000000000001</v>
      </c>
      <c r="W23">
        <v>3.2</v>
      </c>
      <c r="X23">
        <v>1.7</v>
      </c>
      <c r="Y23">
        <v>0.32100000000000001</v>
      </c>
      <c r="Z23">
        <v>1.8149999999999999</v>
      </c>
      <c r="AA23">
        <v>876.66880000000003</v>
      </c>
      <c r="AB23">
        <v>0</v>
      </c>
    </row>
    <row r="24" spans="1:28" x14ac:dyDescent="0.3">
      <c r="A24" s="1">
        <v>44947.125</v>
      </c>
      <c r="B24">
        <v>62</v>
      </c>
      <c r="C24">
        <v>10.210000000000001</v>
      </c>
      <c r="D24">
        <v>0</v>
      </c>
      <c r="E24">
        <v>7.1999999999999995E-2</v>
      </c>
      <c r="F24">
        <v>0</v>
      </c>
      <c r="G24">
        <v>0</v>
      </c>
      <c r="I24">
        <v>3.9940000000000002</v>
      </c>
      <c r="J24">
        <f t="shared" si="0"/>
        <v>9.9850000000000008E-2</v>
      </c>
      <c r="K24">
        <f t="shared" si="1"/>
        <v>3.9940000000000002</v>
      </c>
      <c r="N24">
        <v>17.37</v>
      </c>
      <c r="O24">
        <v>17.63</v>
      </c>
      <c r="P24">
        <v>17.05</v>
      </c>
      <c r="Q24">
        <v>0.126</v>
      </c>
      <c r="R24">
        <v>64.47</v>
      </c>
      <c r="S24">
        <v>65.569999999999993</v>
      </c>
      <c r="T24">
        <v>63.59</v>
      </c>
      <c r="U24">
        <v>0.52400000000000002</v>
      </c>
      <c r="V24">
        <v>2.6110000000000002</v>
      </c>
      <c r="W24">
        <v>3.2</v>
      </c>
      <c r="X24">
        <v>1.7</v>
      </c>
      <c r="Y24">
        <v>0.33200000000000002</v>
      </c>
      <c r="Z24">
        <v>1.766</v>
      </c>
      <c r="AA24">
        <v>876.68499999999995</v>
      </c>
      <c r="AB24">
        <v>0</v>
      </c>
    </row>
    <row r="25" spans="1:28" x14ac:dyDescent="0.3">
      <c r="A25" s="1">
        <v>44947.131944444445</v>
      </c>
      <c r="B25">
        <v>63</v>
      </c>
      <c r="C25">
        <v>10.199999999999999</v>
      </c>
      <c r="D25">
        <v>0</v>
      </c>
      <c r="E25">
        <v>1.2E-2</v>
      </c>
      <c r="F25">
        <v>0</v>
      </c>
      <c r="G25">
        <v>0</v>
      </c>
      <c r="I25">
        <v>3.9940000000000002</v>
      </c>
      <c r="J25">
        <f t="shared" si="0"/>
        <v>9.9850000000000008E-2</v>
      </c>
      <c r="K25">
        <f t="shared" si="1"/>
        <v>3.9940000000000002</v>
      </c>
      <c r="N25">
        <v>17.2</v>
      </c>
      <c r="O25">
        <v>17.32</v>
      </c>
      <c r="P25">
        <v>17.079999999999998</v>
      </c>
      <c r="Q25">
        <v>4.5999999999999999E-2</v>
      </c>
      <c r="R25">
        <v>65.099999999999994</v>
      </c>
      <c r="S25">
        <v>65.400000000000006</v>
      </c>
      <c r="T25">
        <v>64.61</v>
      </c>
      <c r="U25">
        <v>0.13700000000000001</v>
      </c>
      <c r="V25">
        <v>2.5779999999999998</v>
      </c>
      <c r="W25">
        <v>3.2</v>
      </c>
      <c r="X25">
        <v>1.7</v>
      </c>
      <c r="Y25">
        <v>0.33100000000000002</v>
      </c>
      <c r="Z25">
        <v>1.8149999999999999</v>
      </c>
      <c r="AA25">
        <v>876.71079999999995</v>
      </c>
      <c r="AB25">
        <v>0</v>
      </c>
    </row>
    <row r="26" spans="1:28" x14ac:dyDescent="0.3">
      <c r="A26" s="1">
        <v>44947.138888888891</v>
      </c>
      <c r="B26">
        <v>64</v>
      </c>
      <c r="C26">
        <v>10.19</v>
      </c>
      <c r="D26">
        <v>0</v>
      </c>
      <c r="E26">
        <v>1E-3</v>
      </c>
      <c r="F26">
        <v>0</v>
      </c>
      <c r="G26">
        <v>0</v>
      </c>
      <c r="I26">
        <v>3.9940000000000002</v>
      </c>
      <c r="J26">
        <f t="shared" si="0"/>
        <v>9.9850000000000008E-2</v>
      </c>
      <c r="K26">
        <f t="shared" si="1"/>
        <v>3.9940000000000002</v>
      </c>
      <c r="N26">
        <v>16.97</v>
      </c>
      <c r="O26">
        <v>17.29</v>
      </c>
      <c r="P26">
        <v>16.600000000000001</v>
      </c>
      <c r="Q26">
        <v>0.185</v>
      </c>
      <c r="R26">
        <v>66.83</v>
      </c>
      <c r="S26">
        <v>68.67</v>
      </c>
      <c r="T26">
        <v>65.02</v>
      </c>
      <c r="U26">
        <v>1.05</v>
      </c>
      <c r="V26">
        <v>2.6379999999999999</v>
      </c>
      <c r="W26">
        <v>3.2</v>
      </c>
      <c r="X26">
        <v>1.7</v>
      </c>
      <c r="Y26">
        <v>0.41599999999999998</v>
      </c>
      <c r="Z26">
        <v>1.79</v>
      </c>
      <c r="AA26">
        <v>876.60490000000004</v>
      </c>
      <c r="AB26">
        <v>0</v>
      </c>
    </row>
    <row r="27" spans="1:28" x14ac:dyDescent="0.3">
      <c r="A27" s="1">
        <v>44947.145833333336</v>
      </c>
      <c r="B27">
        <v>65</v>
      </c>
      <c r="C27">
        <v>10.17</v>
      </c>
      <c r="D27">
        <v>0</v>
      </c>
      <c r="E27">
        <v>3.1E-2</v>
      </c>
      <c r="F27">
        <v>0</v>
      </c>
      <c r="G27">
        <v>0</v>
      </c>
      <c r="I27">
        <v>3.9940000000000002</v>
      </c>
      <c r="J27">
        <f t="shared" si="0"/>
        <v>9.9850000000000008E-2</v>
      </c>
      <c r="K27">
        <f t="shared" si="1"/>
        <v>3.9940000000000002</v>
      </c>
      <c r="N27">
        <v>16.690000000000001</v>
      </c>
      <c r="O27">
        <v>16.98</v>
      </c>
      <c r="P27">
        <v>16.47</v>
      </c>
      <c r="Q27">
        <v>8.8999999999999996E-2</v>
      </c>
      <c r="R27">
        <v>68.819999999999993</v>
      </c>
      <c r="S27">
        <v>69.209999999999994</v>
      </c>
      <c r="T27">
        <v>68.290000000000006</v>
      </c>
      <c r="U27">
        <v>0.17399999999999999</v>
      </c>
      <c r="V27">
        <v>2.9460000000000002</v>
      </c>
      <c r="W27">
        <v>3.95</v>
      </c>
      <c r="X27">
        <v>1.7</v>
      </c>
      <c r="Y27">
        <v>0.46899999999999997</v>
      </c>
      <c r="Z27">
        <v>1.8149999999999999</v>
      </c>
      <c r="AA27">
        <v>876.57119999999998</v>
      </c>
      <c r="AB27">
        <v>0</v>
      </c>
    </row>
    <row r="28" spans="1:28" x14ac:dyDescent="0.3">
      <c r="A28" s="1">
        <v>44947.152777777781</v>
      </c>
      <c r="B28">
        <v>66</v>
      </c>
      <c r="C28">
        <v>10.16</v>
      </c>
      <c r="D28">
        <v>0</v>
      </c>
      <c r="E28">
        <v>0.16500000000000001</v>
      </c>
      <c r="F28">
        <v>0</v>
      </c>
      <c r="G28">
        <v>0</v>
      </c>
      <c r="I28">
        <v>3.9940000000000002</v>
      </c>
      <c r="J28">
        <f t="shared" si="0"/>
        <v>9.9850000000000008E-2</v>
      </c>
      <c r="K28">
        <f t="shared" si="1"/>
        <v>3.9940000000000002</v>
      </c>
      <c r="N28">
        <v>17.079999999999998</v>
      </c>
      <c r="O28">
        <v>17.32</v>
      </c>
      <c r="P28">
        <v>16.84</v>
      </c>
      <c r="Q28">
        <v>0.109</v>
      </c>
      <c r="R28">
        <v>67.81</v>
      </c>
      <c r="S28">
        <v>68.47</v>
      </c>
      <c r="T28">
        <v>67.17</v>
      </c>
      <c r="U28">
        <v>0.35499999999999998</v>
      </c>
      <c r="V28">
        <v>2.734</v>
      </c>
      <c r="W28">
        <v>3.2</v>
      </c>
      <c r="X28">
        <v>1.7</v>
      </c>
      <c r="Y28">
        <v>0.38400000000000001</v>
      </c>
      <c r="Z28">
        <v>1.766</v>
      </c>
      <c r="AA28">
        <v>876.55219999999997</v>
      </c>
      <c r="AB28">
        <v>0</v>
      </c>
    </row>
    <row r="29" spans="1:28" x14ac:dyDescent="0.3">
      <c r="A29" s="1">
        <v>44947.159722222219</v>
      </c>
      <c r="B29">
        <v>67</v>
      </c>
      <c r="C29">
        <v>10.15</v>
      </c>
      <c r="D29">
        <v>0</v>
      </c>
      <c r="E29">
        <v>1E-3</v>
      </c>
      <c r="F29">
        <v>0</v>
      </c>
      <c r="G29">
        <v>0</v>
      </c>
      <c r="I29">
        <v>3.9940000000000002</v>
      </c>
      <c r="J29">
        <f t="shared" si="0"/>
        <v>9.9850000000000008E-2</v>
      </c>
      <c r="K29">
        <f t="shared" si="1"/>
        <v>3.9940000000000002</v>
      </c>
      <c r="N29">
        <v>16.739999999999998</v>
      </c>
      <c r="O29">
        <v>16.95</v>
      </c>
      <c r="P29">
        <v>16.61</v>
      </c>
      <c r="Q29">
        <v>6.6000000000000003E-2</v>
      </c>
      <c r="R29">
        <v>69.239999999999995</v>
      </c>
      <c r="S29">
        <v>69.56</v>
      </c>
      <c r="T29">
        <v>68.47</v>
      </c>
      <c r="U29">
        <v>0.247</v>
      </c>
      <c r="V29">
        <v>2.423</v>
      </c>
      <c r="W29">
        <v>3.2</v>
      </c>
      <c r="X29">
        <v>1.7</v>
      </c>
      <c r="Y29">
        <v>0.40300000000000002</v>
      </c>
      <c r="Z29">
        <v>1.7909999999999999</v>
      </c>
      <c r="AA29">
        <v>876.56910000000005</v>
      </c>
      <c r="AB29">
        <v>0</v>
      </c>
    </row>
    <row r="30" spans="1:28" x14ac:dyDescent="0.3">
      <c r="A30" s="1">
        <v>44947.166666666664</v>
      </c>
      <c r="B30">
        <v>68</v>
      </c>
      <c r="C30">
        <v>10.14</v>
      </c>
      <c r="D30">
        <v>0</v>
      </c>
      <c r="E30">
        <v>0</v>
      </c>
      <c r="F30">
        <v>0</v>
      </c>
      <c r="G30">
        <v>0</v>
      </c>
      <c r="I30">
        <v>3.9940000000000002</v>
      </c>
      <c r="J30">
        <f t="shared" si="0"/>
        <v>9.9850000000000008E-2</v>
      </c>
      <c r="K30">
        <f t="shared" si="1"/>
        <v>3.9940000000000002</v>
      </c>
      <c r="N30">
        <v>16.600000000000001</v>
      </c>
      <c r="O30">
        <v>16.809999999999999</v>
      </c>
      <c r="P30">
        <v>16.37</v>
      </c>
      <c r="Q30">
        <v>9.6000000000000002E-2</v>
      </c>
      <c r="R30">
        <v>69.81</v>
      </c>
      <c r="S30">
        <v>70.58</v>
      </c>
      <c r="T30">
        <v>69.290000000000006</v>
      </c>
      <c r="U30">
        <v>0.35299999999999998</v>
      </c>
      <c r="V30">
        <v>1.784</v>
      </c>
      <c r="W30">
        <v>2.4500000000000002</v>
      </c>
      <c r="X30">
        <v>0</v>
      </c>
      <c r="Y30">
        <v>0.45200000000000001</v>
      </c>
      <c r="Z30">
        <v>1.766</v>
      </c>
      <c r="AA30">
        <v>876.58090000000004</v>
      </c>
      <c r="AB30">
        <v>0</v>
      </c>
    </row>
    <row r="31" spans="1:28" x14ac:dyDescent="0.3">
      <c r="A31" s="1">
        <v>44947.173611111109</v>
      </c>
      <c r="B31">
        <v>69</v>
      </c>
      <c r="C31">
        <v>10.119999999999999</v>
      </c>
      <c r="D31">
        <v>0</v>
      </c>
      <c r="E31">
        <v>0</v>
      </c>
      <c r="F31">
        <v>0</v>
      </c>
      <c r="G31">
        <v>0</v>
      </c>
      <c r="I31">
        <v>3.9940000000000002</v>
      </c>
      <c r="J31">
        <f t="shared" si="0"/>
        <v>9.9850000000000008E-2</v>
      </c>
      <c r="K31">
        <f t="shared" si="1"/>
        <v>3.9940000000000002</v>
      </c>
      <c r="N31">
        <v>16.28</v>
      </c>
      <c r="O31">
        <v>16.510000000000002</v>
      </c>
      <c r="P31">
        <v>16.100000000000001</v>
      </c>
      <c r="Q31">
        <v>7.4999999999999997E-2</v>
      </c>
      <c r="R31">
        <v>71.09</v>
      </c>
      <c r="S31">
        <v>71.569999999999993</v>
      </c>
      <c r="T31">
        <v>70.45</v>
      </c>
      <c r="U31">
        <v>0.27500000000000002</v>
      </c>
      <c r="V31">
        <v>1.323</v>
      </c>
      <c r="W31">
        <v>2.4500000000000002</v>
      </c>
      <c r="X31">
        <v>0</v>
      </c>
      <c r="Y31">
        <v>0.50900000000000001</v>
      </c>
      <c r="Z31">
        <v>1.621</v>
      </c>
      <c r="AA31">
        <v>876.5521</v>
      </c>
      <c r="AB31">
        <v>0</v>
      </c>
    </row>
    <row r="32" spans="1:28" x14ac:dyDescent="0.3">
      <c r="A32" s="1">
        <v>44947.180555555555</v>
      </c>
      <c r="B32">
        <v>70</v>
      </c>
      <c r="C32">
        <v>10.119999999999999</v>
      </c>
      <c r="D32">
        <v>0</v>
      </c>
      <c r="E32">
        <v>8.0000000000000002E-3</v>
      </c>
      <c r="F32">
        <v>0</v>
      </c>
      <c r="G32">
        <v>0</v>
      </c>
      <c r="I32">
        <v>3.9940000000000002</v>
      </c>
      <c r="J32">
        <f t="shared" si="0"/>
        <v>9.9850000000000008E-2</v>
      </c>
      <c r="K32">
        <f t="shared" si="1"/>
        <v>3.9940000000000002</v>
      </c>
      <c r="N32">
        <v>16.16</v>
      </c>
      <c r="O32">
        <v>16.3</v>
      </c>
      <c r="P32">
        <v>16</v>
      </c>
      <c r="Q32">
        <v>5.6000000000000001E-2</v>
      </c>
      <c r="R32">
        <v>71.709999999999994</v>
      </c>
      <c r="S32">
        <v>72.36</v>
      </c>
      <c r="T32">
        <v>71.37</v>
      </c>
      <c r="U32">
        <v>0.20399999999999999</v>
      </c>
      <c r="V32">
        <v>1.4379999999999999</v>
      </c>
      <c r="W32">
        <v>2.4500000000000002</v>
      </c>
      <c r="X32">
        <v>0</v>
      </c>
      <c r="Y32">
        <v>0.57899999999999996</v>
      </c>
      <c r="Z32">
        <v>1.597</v>
      </c>
      <c r="AA32">
        <v>876.58609999999999</v>
      </c>
      <c r="AB32">
        <v>0</v>
      </c>
    </row>
    <row r="33" spans="1:28" x14ac:dyDescent="0.3">
      <c r="A33" s="1">
        <v>44947.1875</v>
      </c>
      <c r="B33">
        <v>71</v>
      </c>
      <c r="C33">
        <v>10.11</v>
      </c>
      <c r="D33">
        <v>0</v>
      </c>
      <c r="E33">
        <v>0</v>
      </c>
      <c r="F33">
        <v>0</v>
      </c>
      <c r="G33">
        <v>0</v>
      </c>
      <c r="I33">
        <v>3.9940000000000002</v>
      </c>
      <c r="J33">
        <f t="shared" si="0"/>
        <v>9.9850000000000008E-2</v>
      </c>
      <c r="K33">
        <f t="shared" si="1"/>
        <v>3.9940000000000002</v>
      </c>
      <c r="N33">
        <v>15.69</v>
      </c>
      <c r="O33">
        <v>16.13</v>
      </c>
      <c r="P33">
        <v>15.45</v>
      </c>
      <c r="Q33">
        <v>0.13600000000000001</v>
      </c>
      <c r="R33">
        <v>73.62</v>
      </c>
      <c r="S33">
        <v>74.61</v>
      </c>
      <c r="T33">
        <v>72.19</v>
      </c>
      <c r="U33">
        <v>0.57099999999999995</v>
      </c>
      <c r="V33">
        <v>1.597</v>
      </c>
      <c r="W33">
        <v>2.4500000000000002</v>
      </c>
      <c r="X33">
        <v>0</v>
      </c>
      <c r="Y33">
        <v>0.42199999999999999</v>
      </c>
      <c r="Z33">
        <v>1.742</v>
      </c>
      <c r="AA33">
        <v>876.57839999999999</v>
      </c>
      <c r="AB33">
        <v>0</v>
      </c>
    </row>
    <row r="34" spans="1:28" x14ac:dyDescent="0.3">
      <c r="A34" s="1">
        <v>44947.194444444445</v>
      </c>
      <c r="B34">
        <v>72</v>
      </c>
      <c r="C34">
        <v>10.1</v>
      </c>
      <c r="D34">
        <v>0</v>
      </c>
      <c r="E34">
        <v>1.2999999999999999E-2</v>
      </c>
      <c r="F34">
        <v>0</v>
      </c>
      <c r="G34">
        <v>0</v>
      </c>
      <c r="I34">
        <v>3.9950000000000001</v>
      </c>
      <c r="J34">
        <f t="shared" si="0"/>
        <v>9.9875000000000005E-2</v>
      </c>
      <c r="K34">
        <f t="shared" si="1"/>
        <v>3.9950000000000001</v>
      </c>
      <c r="N34">
        <v>15.64</v>
      </c>
      <c r="O34">
        <v>15.79</v>
      </c>
      <c r="P34">
        <v>15.39</v>
      </c>
      <c r="Q34">
        <v>8.3000000000000004E-2</v>
      </c>
      <c r="R34">
        <v>74.17</v>
      </c>
      <c r="S34">
        <v>74.849999999999994</v>
      </c>
      <c r="T34">
        <v>73.72</v>
      </c>
      <c r="U34">
        <v>0.28199999999999997</v>
      </c>
      <c r="V34">
        <v>1.9930000000000001</v>
      </c>
      <c r="W34">
        <v>2.4500000000000002</v>
      </c>
      <c r="X34">
        <v>0.95</v>
      </c>
      <c r="Y34">
        <v>0.371</v>
      </c>
      <c r="Z34">
        <v>1.718</v>
      </c>
      <c r="AA34">
        <v>876.60299999999995</v>
      </c>
      <c r="AB34">
        <v>0</v>
      </c>
    </row>
    <row r="35" spans="1:28" x14ac:dyDescent="0.3">
      <c r="A35" s="1">
        <v>44947.201388888891</v>
      </c>
      <c r="B35">
        <v>73</v>
      </c>
      <c r="C35">
        <v>10.09</v>
      </c>
      <c r="D35">
        <v>0</v>
      </c>
      <c r="E35">
        <v>0.121</v>
      </c>
      <c r="F35">
        <v>0</v>
      </c>
      <c r="G35">
        <v>0</v>
      </c>
      <c r="I35">
        <v>3.9950000000000001</v>
      </c>
      <c r="J35">
        <f t="shared" si="0"/>
        <v>9.9875000000000005E-2</v>
      </c>
      <c r="K35">
        <f t="shared" si="1"/>
        <v>3.9950000000000001</v>
      </c>
      <c r="N35">
        <v>15.68</v>
      </c>
      <c r="O35">
        <v>15.93</v>
      </c>
      <c r="P35">
        <v>15.35</v>
      </c>
      <c r="Q35">
        <v>0.14599999999999999</v>
      </c>
      <c r="R35">
        <v>74</v>
      </c>
      <c r="S35">
        <v>74.91</v>
      </c>
      <c r="T35">
        <v>73.239999999999995</v>
      </c>
      <c r="U35">
        <v>0.51300000000000001</v>
      </c>
      <c r="V35">
        <v>2.0529999999999999</v>
      </c>
      <c r="W35">
        <v>3.2</v>
      </c>
      <c r="X35">
        <v>0.95</v>
      </c>
      <c r="Y35">
        <v>0.379</v>
      </c>
      <c r="Z35">
        <v>1.573</v>
      </c>
      <c r="AA35">
        <v>876.65430000000003</v>
      </c>
      <c r="AB35">
        <v>0</v>
      </c>
    </row>
    <row r="36" spans="1:28" x14ac:dyDescent="0.3">
      <c r="A36" s="1">
        <v>44947.208333333336</v>
      </c>
      <c r="B36">
        <v>74</v>
      </c>
      <c r="C36">
        <v>10.08</v>
      </c>
      <c r="D36">
        <v>0</v>
      </c>
      <c r="E36">
        <v>0.126</v>
      </c>
      <c r="F36">
        <v>0</v>
      </c>
      <c r="G36">
        <v>0</v>
      </c>
      <c r="I36">
        <v>3.9950000000000001</v>
      </c>
      <c r="J36">
        <f t="shared" si="0"/>
        <v>9.9875000000000005E-2</v>
      </c>
      <c r="K36">
        <f t="shared" si="1"/>
        <v>3.9950000000000001</v>
      </c>
      <c r="N36">
        <v>15.87</v>
      </c>
      <c r="O36">
        <v>16</v>
      </c>
      <c r="P36">
        <v>15.76</v>
      </c>
      <c r="Q36">
        <v>4.3999999999999997E-2</v>
      </c>
      <c r="R36">
        <v>73.3</v>
      </c>
      <c r="S36">
        <v>73.48</v>
      </c>
      <c r="T36">
        <v>73.069999999999993</v>
      </c>
      <c r="U36">
        <v>7.6999999999999999E-2</v>
      </c>
      <c r="V36">
        <v>2.3130000000000002</v>
      </c>
      <c r="W36">
        <v>3.2</v>
      </c>
      <c r="X36">
        <v>0.95</v>
      </c>
      <c r="Y36">
        <v>0.39400000000000002</v>
      </c>
      <c r="Z36">
        <v>1.694</v>
      </c>
      <c r="AA36">
        <v>876.76869999999997</v>
      </c>
      <c r="AB36">
        <v>0</v>
      </c>
    </row>
    <row r="37" spans="1:28" x14ac:dyDescent="0.3">
      <c r="A37" s="1">
        <v>44947.215277777781</v>
      </c>
      <c r="B37">
        <v>75</v>
      </c>
      <c r="C37">
        <v>10.07</v>
      </c>
      <c r="D37">
        <v>0</v>
      </c>
      <c r="E37">
        <v>2.7E-2</v>
      </c>
      <c r="F37">
        <v>0</v>
      </c>
      <c r="G37">
        <v>0</v>
      </c>
      <c r="I37">
        <v>3.9950000000000001</v>
      </c>
      <c r="J37">
        <f t="shared" si="0"/>
        <v>9.9875000000000005E-2</v>
      </c>
      <c r="K37">
        <f t="shared" si="1"/>
        <v>3.9950000000000001</v>
      </c>
      <c r="N37">
        <v>15.91</v>
      </c>
      <c r="O37">
        <v>16.07</v>
      </c>
      <c r="P37">
        <v>15.73</v>
      </c>
      <c r="Q37">
        <v>5.8000000000000003E-2</v>
      </c>
      <c r="R37">
        <v>73.2</v>
      </c>
      <c r="S37">
        <v>73.59</v>
      </c>
      <c r="T37">
        <v>72.8</v>
      </c>
      <c r="U37">
        <v>0.16</v>
      </c>
      <c r="V37">
        <v>2.206</v>
      </c>
      <c r="W37">
        <v>3.2</v>
      </c>
      <c r="X37">
        <v>0.95</v>
      </c>
      <c r="Y37">
        <v>0.39200000000000002</v>
      </c>
      <c r="Z37">
        <v>1.718</v>
      </c>
      <c r="AA37">
        <v>876.86720000000003</v>
      </c>
      <c r="AB37">
        <v>0</v>
      </c>
    </row>
    <row r="38" spans="1:28" x14ac:dyDescent="0.3">
      <c r="A38" s="1">
        <v>44947.222222222219</v>
      </c>
      <c r="B38">
        <v>76</v>
      </c>
      <c r="C38">
        <v>10.06</v>
      </c>
      <c r="D38">
        <v>0</v>
      </c>
      <c r="E38">
        <v>4.3999999999999997E-2</v>
      </c>
      <c r="F38">
        <v>0</v>
      </c>
      <c r="G38">
        <v>0</v>
      </c>
      <c r="I38">
        <v>3.9950000000000001</v>
      </c>
      <c r="J38">
        <f t="shared" si="0"/>
        <v>9.9875000000000005E-2</v>
      </c>
      <c r="K38">
        <f t="shared" si="1"/>
        <v>3.9950000000000001</v>
      </c>
      <c r="N38">
        <v>15.92</v>
      </c>
      <c r="O38">
        <v>16.07</v>
      </c>
      <c r="P38">
        <v>15.73</v>
      </c>
      <c r="Q38">
        <v>5.3999999999999999E-2</v>
      </c>
      <c r="R38">
        <v>73.28</v>
      </c>
      <c r="S38">
        <v>73.59</v>
      </c>
      <c r="T38">
        <v>72.900000000000006</v>
      </c>
      <c r="U38">
        <v>0.14699999999999999</v>
      </c>
      <c r="V38">
        <v>2.661</v>
      </c>
      <c r="W38">
        <v>3.95</v>
      </c>
      <c r="X38">
        <v>1.7</v>
      </c>
      <c r="Y38">
        <v>0.47</v>
      </c>
      <c r="Z38">
        <v>1.718</v>
      </c>
      <c r="AA38">
        <v>876.93230000000005</v>
      </c>
      <c r="AB38">
        <v>0</v>
      </c>
    </row>
    <row r="39" spans="1:28" x14ac:dyDescent="0.3">
      <c r="A39" s="1">
        <v>44947.229166666664</v>
      </c>
      <c r="B39">
        <v>77</v>
      </c>
      <c r="C39">
        <v>10.06</v>
      </c>
      <c r="D39">
        <v>0</v>
      </c>
      <c r="E39">
        <v>0.11</v>
      </c>
      <c r="F39">
        <v>0</v>
      </c>
      <c r="G39">
        <v>0</v>
      </c>
      <c r="I39">
        <v>3.9950000000000001</v>
      </c>
      <c r="J39">
        <f t="shared" si="0"/>
        <v>9.9875000000000005E-2</v>
      </c>
      <c r="K39">
        <f t="shared" si="1"/>
        <v>3.9950000000000001</v>
      </c>
      <c r="N39">
        <v>15.95</v>
      </c>
      <c r="O39">
        <v>16.239999999999998</v>
      </c>
      <c r="P39">
        <v>15.76</v>
      </c>
      <c r="Q39">
        <v>0.10100000000000001</v>
      </c>
      <c r="R39">
        <v>73.2</v>
      </c>
      <c r="S39">
        <v>73.760000000000005</v>
      </c>
      <c r="T39">
        <v>72.319999999999993</v>
      </c>
      <c r="U39">
        <v>0.36599999999999999</v>
      </c>
      <c r="V39">
        <v>2.6890000000000001</v>
      </c>
      <c r="W39">
        <v>3.95</v>
      </c>
      <c r="X39">
        <v>0.95</v>
      </c>
      <c r="Y39">
        <v>0.42699999999999999</v>
      </c>
      <c r="Z39">
        <v>1.694</v>
      </c>
      <c r="AA39">
        <v>876.93230000000005</v>
      </c>
      <c r="AB39">
        <v>0</v>
      </c>
    </row>
    <row r="40" spans="1:28" x14ac:dyDescent="0.3">
      <c r="A40" s="1">
        <v>44947.236111111109</v>
      </c>
      <c r="B40">
        <v>78</v>
      </c>
      <c r="C40">
        <v>10.039999999999999</v>
      </c>
      <c r="D40">
        <v>0</v>
      </c>
      <c r="E40">
        <v>0.104</v>
      </c>
      <c r="F40">
        <v>0</v>
      </c>
      <c r="G40">
        <v>0</v>
      </c>
      <c r="I40">
        <v>3.9950000000000001</v>
      </c>
      <c r="J40">
        <f t="shared" si="0"/>
        <v>9.9875000000000005E-2</v>
      </c>
      <c r="K40">
        <f t="shared" si="1"/>
        <v>3.9950000000000001</v>
      </c>
      <c r="N40">
        <v>16.149999999999999</v>
      </c>
      <c r="O40">
        <v>16.34</v>
      </c>
      <c r="P40">
        <v>16</v>
      </c>
      <c r="Q40">
        <v>7.5999999999999998E-2</v>
      </c>
      <c r="R40">
        <v>72.47</v>
      </c>
      <c r="S40">
        <v>72.97</v>
      </c>
      <c r="T40">
        <v>71.88</v>
      </c>
      <c r="U40">
        <v>0.28299999999999997</v>
      </c>
      <c r="V40">
        <v>2.5499999999999998</v>
      </c>
      <c r="W40">
        <v>3.2</v>
      </c>
      <c r="X40">
        <v>1.7</v>
      </c>
      <c r="Y40">
        <v>0.317</v>
      </c>
      <c r="Z40">
        <v>1.694</v>
      </c>
      <c r="AA40">
        <v>877.07989999999995</v>
      </c>
      <c r="AB40">
        <v>0</v>
      </c>
    </row>
    <row r="41" spans="1:28" x14ac:dyDescent="0.3">
      <c r="A41" s="1">
        <v>44947.243055555555</v>
      </c>
      <c r="B41">
        <v>79</v>
      </c>
      <c r="C41">
        <v>10.039999999999999</v>
      </c>
      <c r="D41">
        <v>0</v>
      </c>
      <c r="E41">
        <v>0</v>
      </c>
      <c r="F41">
        <v>0</v>
      </c>
      <c r="G41">
        <v>0</v>
      </c>
      <c r="I41">
        <v>3.9950000000000001</v>
      </c>
      <c r="J41">
        <f t="shared" si="0"/>
        <v>9.9875000000000005E-2</v>
      </c>
      <c r="K41">
        <f t="shared" si="1"/>
        <v>3.9950000000000001</v>
      </c>
      <c r="N41">
        <v>15.9</v>
      </c>
      <c r="O41">
        <v>16.170000000000002</v>
      </c>
      <c r="P41">
        <v>15.69</v>
      </c>
      <c r="Q41">
        <v>9.8000000000000004E-2</v>
      </c>
      <c r="R41">
        <v>73.569999999999993</v>
      </c>
      <c r="S41">
        <v>74.16</v>
      </c>
      <c r="T41">
        <v>72.63</v>
      </c>
      <c r="U41">
        <v>0.39100000000000001</v>
      </c>
      <c r="V41">
        <v>2.044</v>
      </c>
      <c r="W41">
        <v>3.2</v>
      </c>
      <c r="X41">
        <v>0.95</v>
      </c>
      <c r="Y41">
        <v>0.47099999999999997</v>
      </c>
      <c r="Z41">
        <v>1.694</v>
      </c>
      <c r="AA41">
        <v>877.15980000000002</v>
      </c>
      <c r="AB41">
        <v>0</v>
      </c>
    </row>
    <row r="42" spans="1:28" x14ac:dyDescent="0.3">
      <c r="A42" s="1">
        <v>44947.25</v>
      </c>
      <c r="B42">
        <v>80</v>
      </c>
      <c r="C42">
        <v>10.039999999999999</v>
      </c>
      <c r="D42">
        <v>0</v>
      </c>
      <c r="E42">
        <v>1E-3</v>
      </c>
      <c r="F42">
        <v>0</v>
      </c>
      <c r="G42">
        <v>0</v>
      </c>
      <c r="I42">
        <v>3.9950000000000001</v>
      </c>
      <c r="J42">
        <f t="shared" si="0"/>
        <v>9.9875000000000005E-2</v>
      </c>
      <c r="K42">
        <f t="shared" si="1"/>
        <v>3.9950000000000001</v>
      </c>
      <c r="N42">
        <v>15.66</v>
      </c>
      <c r="O42">
        <v>15.86</v>
      </c>
      <c r="P42">
        <v>15.45</v>
      </c>
      <c r="Q42">
        <v>0.09</v>
      </c>
      <c r="R42">
        <v>74.540000000000006</v>
      </c>
      <c r="S42">
        <v>75.260000000000005</v>
      </c>
      <c r="T42">
        <v>73.989999999999995</v>
      </c>
      <c r="U42">
        <v>0.34499999999999997</v>
      </c>
      <c r="V42">
        <v>1.1180000000000001</v>
      </c>
      <c r="W42">
        <v>2.4500000000000002</v>
      </c>
      <c r="X42">
        <v>0</v>
      </c>
      <c r="Y42">
        <v>0.66</v>
      </c>
      <c r="Z42">
        <v>1.67</v>
      </c>
      <c r="AA42">
        <v>877.28290000000004</v>
      </c>
      <c r="AB42">
        <v>0</v>
      </c>
    </row>
    <row r="43" spans="1:28" x14ac:dyDescent="0.3">
      <c r="A43" s="1">
        <v>44947.256944444445</v>
      </c>
      <c r="B43">
        <v>81</v>
      </c>
      <c r="C43">
        <v>10.02</v>
      </c>
      <c r="D43">
        <v>0</v>
      </c>
      <c r="E43">
        <v>0</v>
      </c>
      <c r="F43">
        <v>0</v>
      </c>
      <c r="G43">
        <v>0</v>
      </c>
      <c r="I43">
        <v>3.9950000000000001</v>
      </c>
      <c r="J43">
        <f t="shared" si="0"/>
        <v>9.9875000000000005E-2</v>
      </c>
      <c r="K43">
        <f t="shared" si="1"/>
        <v>3.9950000000000001</v>
      </c>
      <c r="N43">
        <v>15.39</v>
      </c>
      <c r="O43">
        <v>15.62</v>
      </c>
      <c r="P43">
        <v>15.01</v>
      </c>
      <c r="Q43">
        <v>0.158</v>
      </c>
      <c r="R43">
        <v>75.760000000000005</v>
      </c>
      <c r="S43">
        <v>77.03</v>
      </c>
      <c r="T43">
        <v>75.02</v>
      </c>
      <c r="U43">
        <v>0.60499999999999998</v>
      </c>
      <c r="V43">
        <v>1.4610000000000001</v>
      </c>
      <c r="W43">
        <v>2.4500000000000002</v>
      </c>
      <c r="X43">
        <v>0</v>
      </c>
      <c r="Y43">
        <v>0.46600000000000003</v>
      </c>
      <c r="Z43">
        <v>1.67</v>
      </c>
      <c r="AA43">
        <v>877.48879999999997</v>
      </c>
      <c r="AB43">
        <v>0</v>
      </c>
    </row>
    <row r="44" spans="1:28" x14ac:dyDescent="0.3">
      <c r="A44" s="1">
        <v>44947.263888888891</v>
      </c>
      <c r="B44">
        <v>82</v>
      </c>
      <c r="C44">
        <v>10.01</v>
      </c>
      <c r="D44">
        <v>0</v>
      </c>
      <c r="E44">
        <v>2.5999999999999999E-2</v>
      </c>
      <c r="F44">
        <v>0</v>
      </c>
      <c r="G44">
        <v>0</v>
      </c>
      <c r="I44">
        <v>3.9950000000000001</v>
      </c>
      <c r="J44">
        <f t="shared" si="0"/>
        <v>9.9875000000000005E-2</v>
      </c>
      <c r="K44">
        <f t="shared" si="1"/>
        <v>3.9950000000000001</v>
      </c>
      <c r="N44">
        <v>15.21</v>
      </c>
      <c r="O44">
        <v>15.45</v>
      </c>
      <c r="P44">
        <v>15.01</v>
      </c>
      <c r="Q44">
        <v>7.9000000000000001E-2</v>
      </c>
      <c r="R44">
        <v>76.709999999999994</v>
      </c>
      <c r="S44">
        <v>77.16</v>
      </c>
      <c r="T44">
        <v>76.069999999999993</v>
      </c>
      <c r="U44">
        <v>0.221</v>
      </c>
      <c r="V44">
        <v>1.7130000000000001</v>
      </c>
      <c r="W44">
        <v>2.4500000000000002</v>
      </c>
      <c r="X44">
        <v>0</v>
      </c>
      <c r="Y44">
        <v>0.45</v>
      </c>
      <c r="Z44">
        <v>1.67</v>
      </c>
      <c r="AA44">
        <v>877.58680000000004</v>
      </c>
      <c r="AB44">
        <v>0</v>
      </c>
    </row>
    <row r="45" spans="1:28" x14ac:dyDescent="0.3">
      <c r="A45" s="1">
        <v>44947.270833333336</v>
      </c>
      <c r="B45">
        <v>83</v>
      </c>
      <c r="C45">
        <v>10.02</v>
      </c>
      <c r="D45">
        <v>0</v>
      </c>
      <c r="E45">
        <v>6.5000000000000002E-2</v>
      </c>
      <c r="F45">
        <v>0</v>
      </c>
      <c r="G45">
        <v>0</v>
      </c>
      <c r="I45">
        <v>3.9950000000000001</v>
      </c>
      <c r="J45">
        <f t="shared" si="0"/>
        <v>9.9875000000000005E-2</v>
      </c>
      <c r="K45">
        <f t="shared" si="1"/>
        <v>3.9950000000000001</v>
      </c>
      <c r="N45">
        <v>15.41</v>
      </c>
      <c r="O45">
        <v>15.62</v>
      </c>
      <c r="P45">
        <v>15.15</v>
      </c>
      <c r="Q45">
        <v>0.105</v>
      </c>
      <c r="R45">
        <v>75.97</v>
      </c>
      <c r="S45">
        <v>76.930000000000007</v>
      </c>
      <c r="T45">
        <v>75.319999999999993</v>
      </c>
      <c r="U45">
        <v>0.4</v>
      </c>
      <c r="V45">
        <v>1.6839999999999999</v>
      </c>
      <c r="W45">
        <v>2.4500000000000002</v>
      </c>
      <c r="X45">
        <v>0</v>
      </c>
      <c r="Y45">
        <v>0.52200000000000002</v>
      </c>
      <c r="Z45">
        <v>1.6459999999999999</v>
      </c>
      <c r="AA45">
        <v>877.58690000000001</v>
      </c>
      <c r="AB45">
        <v>0</v>
      </c>
    </row>
    <row r="46" spans="1:28" x14ac:dyDescent="0.3">
      <c r="A46" s="1">
        <v>44947.277777777781</v>
      </c>
      <c r="B46">
        <v>84</v>
      </c>
      <c r="C46">
        <v>10.01</v>
      </c>
      <c r="D46">
        <v>0</v>
      </c>
      <c r="E46">
        <v>0.02</v>
      </c>
      <c r="F46">
        <v>0</v>
      </c>
      <c r="G46">
        <v>0</v>
      </c>
      <c r="I46">
        <v>3.9950000000000001</v>
      </c>
      <c r="J46">
        <f t="shared" si="0"/>
        <v>9.9875000000000005E-2</v>
      </c>
      <c r="K46">
        <f t="shared" si="1"/>
        <v>3.9950000000000001</v>
      </c>
      <c r="N46">
        <v>15.21</v>
      </c>
      <c r="O46">
        <v>15.35</v>
      </c>
      <c r="P46">
        <v>15.01</v>
      </c>
      <c r="Q46">
        <v>6.9000000000000006E-2</v>
      </c>
      <c r="R46">
        <v>76.83</v>
      </c>
      <c r="S46">
        <v>77.44</v>
      </c>
      <c r="T46">
        <v>76.48</v>
      </c>
      <c r="U46">
        <v>0.19500000000000001</v>
      </c>
      <c r="V46">
        <v>2.1179999999999999</v>
      </c>
      <c r="W46">
        <v>3.2</v>
      </c>
      <c r="X46">
        <v>0.95</v>
      </c>
      <c r="Y46">
        <v>0.496</v>
      </c>
      <c r="Z46">
        <v>1.67</v>
      </c>
      <c r="AA46">
        <v>877.73410000000001</v>
      </c>
      <c r="AB46">
        <v>0</v>
      </c>
    </row>
    <row r="47" spans="1:28" x14ac:dyDescent="0.3">
      <c r="A47" s="1">
        <v>44947.284722222219</v>
      </c>
      <c r="B47">
        <v>85</v>
      </c>
      <c r="C47">
        <v>9.99</v>
      </c>
      <c r="D47">
        <v>0</v>
      </c>
      <c r="E47">
        <v>0</v>
      </c>
      <c r="F47">
        <v>0</v>
      </c>
      <c r="G47">
        <v>0</v>
      </c>
      <c r="I47">
        <v>3.9950000000000001</v>
      </c>
      <c r="J47">
        <f t="shared" si="0"/>
        <v>9.9875000000000005E-2</v>
      </c>
      <c r="K47">
        <f t="shared" si="1"/>
        <v>3.9950000000000001</v>
      </c>
      <c r="N47">
        <v>14.88</v>
      </c>
      <c r="O47">
        <v>15.15</v>
      </c>
      <c r="P47">
        <v>14.67</v>
      </c>
      <c r="Q47">
        <v>9.1999999999999998E-2</v>
      </c>
      <c r="R47">
        <v>78.22</v>
      </c>
      <c r="S47">
        <v>78.8</v>
      </c>
      <c r="T47">
        <v>77.37</v>
      </c>
      <c r="U47">
        <v>0.38</v>
      </c>
      <c r="V47">
        <v>1.885</v>
      </c>
      <c r="W47">
        <v>2.4500000000000002</v>
      </c>
      <c r="X47">
        <v>0.95</v>
      </c>
      <c r="Y47">
        <v>0.379</v>
      </c>
      <c r="Z47">
        <v>1.67</v>
      </c>
      <c r="AA47">
        <v>877.84059999999999</v>
      </c>
      <c r="AB47">
        <v>0</v>
      </c>
    </row>
    <row r="48" spans="1:28" x14ac:dyDescent="0.3">
      <c r="A48" s="1">
        <v>44947.291666666664</v>
      </c>
      <c r="B48">
        <v>86</v>
      </c>
      <c r="C48">
        <v>9.99</v>
      </c>
      <c r="D48">
        <v>0</v>
      </c>
      <c r="E48">
        <v>0.161</v>
      </c>
      <c r="F48">
        <v>0</v>
      </c>
      <c r="G48">
        <v>0</v>
      </c>
      <c r="I48">
        <v>3.9950000000000001</v>
      </c>
      <c r="J48">
        <f t="shared" si="0"/>
        <v>9.9875000000000005E-2</v>
      </c>
      <c r="K48">
        <f t="shared" si="1"/>
        <v>3.9950000000000001</v>
      </c>
      <c r="N48">
        <v>14.97</v>
      </c>
      <c r="O48">
        <v>15.18</v>
      </c>
      <c r="P48">
        <v>14.67</v>
      </c>
      <c r="Q48">
        <v>0.108</v>
      </c>
      <c r="R48">
        <v>77.98</v>
      </c>
      <c r="S48">
        <v>78.83</v>
      </c>
      <c r="T48">
        <v>77.3</v>
      </c>
      <c r="U48">
        <v>0.43099999999999999</v>
      </c>
      <c r="V48">
        <v>2.4039999999999999</v>
      </c>
      <c r="W48">
        <v>3.2</v>
      </c>
      <c r="X48">
        <v>1.7</v>
      </c>
      <c r="Y48">
        <v>0.32200000000000001</v>
      </c>
      <c r="Z48">
        <v>1.6459999999999999</v>
      </c>
      <c r="AA48">
        <v>877.91390000000001</v>
      </c>
      <c r="AB48">
        <v>0</v>
      </c>
    </row>
    <row r="49" spans="1:28" x14ac:dyDescent="0.3">
      <c r="A49" s="1">
        <v>44947.298611111109</v>
      </c>
      <c r="B49">
        <v>87</v>
      </c>
      <c r="C49">
        <v>10</v>
      </c>
      <c r="D49">
        <v>0.35399999999999998</v>
      </c>
      <c r="E49">
        <v>8.4000000000000005E-2</v>
      </c>
      <c r="F49">
        <v>0.223</v>
      </c>
      <c r="G49">
        <v>8.6999999999999994E-2</v>
      </c>
      <c r="I49">
        <v>3.9950000000000001</v>
      </c>
      <c r="J49">
        <f t="shared" si="0"/>
        <v>9.9875000000000005E-2</v>
      </c>
      <c r="K49">
        <f t="shared" si="1"/>
        <v>3.9950000000000001</v>
      </c>
      <c r="N49">
        <v>15.07</v>
      </c>
      <c r="O49">
        <v>15.21</v>
      </c>
      <c r="P49">
        <v>14.94</v>
      </c>
      <c r="Q49">
        <v>4.4999999999999998E-2</v>
      </c>
      <c r="R49">
        <v>77.52</v>
      </c>
      <c r="S49">
        <v>77.81</v>
      </c>
      <c r="T49">
        <v>77.27</v>
      </c>
      <c r="U49">
        <v>0.113</v>
      </c>
      <c r="V49">
        <v>2.4980000000000002</v>
      </c>
      <c r="W49">
        <v>3.2</v>
      </c>
      <c r="X49">
        <v>1.7</v>
      </c>
      <c r="Y49">
        <v>0.32900000000000001</v>
      </c>
      <c r="Z49">
        <v>1.67</v>
      </c>
      <c r="AA49">
        <v>877.92229999999995</v>
      </c>
      <c r="AB49">
        <v>0</v>
      </c>
    </row>
    <row r="50" spans="1:28" x14ac:dyDescent="0.3">
      <c r="A50" s="1">
        <v>44947.305555555555</v>
      </c>
      <c r="B50">
        <v>88</v>
      </c>
      <c r="C50">
        <v>9.99</v>
      </c>
      <c r="D50">
        <v>5.2380000000000004</v>
      </c>
      <c r="E50">
        <v>0.189</v>
      </c>
      <c r="F50">
        <v>3.9809999999999999</v>
      </c>
      <c r="G50">
        <v>4.5330000000000004</v>
      </c>
      <c r="I50">
        <v>4</v>
      </c>
      <c r="J50">
        <f t="shared" si="0"/>
        <v>0.1</v>
      </c>
      <c r="K50">
        <f t="shared" si="1"/>
        <v>4</v>
      </c>
      <c r="N50">
        <v>15.07</v>
      </c>
      <c r="O50">
        <v>15.18</v>
      </c>
      <c r="P50">
        <v>14.94</v>
      </c>
      <c r="Q50">
        <v>4.4999999999999998E-2</v>
      </c>
      <c r="R50">
        <v>77.48</v>
      </c>
      <c r="S50">
        <v>77.81</v>
      </c>
      <c r="T50">
        <v>77.16</v>
      </c>
      <c r="U50">
        <v>0.111</v>
      </c>
      <c r="V50">
        <v>2.5209999999999999</v>
      </c>
      <c r="W50">
        <v>3.2</v>
      </c>
      <c r="X50">
        <v>1.7</v>
      </c>
      <c r="Y50">
        <v>0.36699999999999999</v>
      </c>
      <c r="Z50">
        <v>1.621</v>
      </c>
      <c r="AA50">
        <v>878.05309999999997</v>
      </c>
      <c r="AB50">
        <v>0</v>
      </c>
    </row>
    <row r="51" spans="1:28" x14ac:dyDescent="0.3">
      <c r="A51" s="1">
        <v>44947.3125</v>
      </c>
      <c r="B51">
        <v>89</v>
      </c>
      <c r="C51">
        <v>10</v>
      </c>
      <c r="D51">
        <v>17.03</v>
      </c>
      <c r="E51">
        <v>17.89</v>
      </c>
      <c r="F51">
        <v>13.54</v>
      </c>
      <c r="G51">
        <v>20.05</v>
      </c>
      <c r="I51">
        <v>4.0209999999999999</v>
      </c>
      <c r="J51">
        <f t="shared" si="0"/>
        <v>0.10052499999999999</v>
      </c>
      <c r="K51">
        <f t="shared" si="1"/>
        <v>4.0209999999999999</v>
      </c>
      <c r="N51">
        <v>15.14</v>
      </c>
      <c r="O51">
        <v>15.35</v>
      </c>
      <c r="P51">
        <v>14.94</v>
      </c>
      <c r="Q51">
        <v>8.4000000000000005E-2</v>
      </c>
      <c r="R51">
        <v>77.25</v>
      </c>
      <c r="S51">
        <v>77.849999999999994</v>
      </c>
      <c r="T51">
        <v>76.69</v>
      </c>
      <c r="U51">
        <v>0.32200000000000001</v>
      </c>
      <c r="V51">
        <v>2.181</v>
      </c>
      <c r="W51">
        <v>3.2</v>
      </c>
      <c r="X51">
        <v>1.7</v>
      </c>
      <c r="Y51">
        <v>0.36199999999999999</v>
      </c>
      <c r="Z51">
        <v>1.6459999999999999</v>
      </c>
      <c r="AA51">
        <v>878.14329999999995</v>
      </c>
      <c r="AB51">
        <v>0</v>
      </c>
    </row>
    <row r="52" spans="1:28" x14ac:dyDescent="0.3">
      <c r="A52" s="1">
        <v>44947.319444444445</v>
      </c>
      <c r="B52">
        <v>90</v>
      </c>
      <c r="C52">
        <v>10.01</v>
      </c>
      <c r="D52">
        <v>38.43</v>
      </c>
      <c r="E52">
        <v>77.709999999999994</v>
      </c>
      <c r="F52">
        <v>26.05</v>
      </c>
      <c r="G52">
        <v>50.99</v>
      </c>
      <c r="I52">
        <v>4.0490000000000004</v>
      </c>
      <c r="J52">
        <f t="shared" si="0"/>
        <v>0.10122500000000001</v>
      </c>
      <c r="K52">
        <f t="shared" si="1"/>
        <v>4.0490000000000004</v>
      </c>
      <c r="N52">
        <v>15.27</v>
      </c>
      <c r="O52">
        <v>15.45</v>
      </c>
      <c r="P52">
        <v>15.11</v>
      </c>
      <c r="Q52">
        <v>4.3999999999999997E-2</v>
      </c>
      <c r="R52">
        <v>76.73</v>
      </c>
      <c r="S52">
        <v>76.989999999999995</v>
      </c>
      <c r="T52">
        <v>76.52</v>
      </c>
      <c r="U52">
        <v>8.2000000000000003E-2</v>
      </c>
      <c r="V52">
        <v>1.9990000000000001</v>
      </c>
      <c r="W52">
        <v>2.4500000000000002</v>
      </c>
      <c r="X52">
        <v>1.7</v>
      </c>
      <c r="Y52">
        <v>0.36699999999999999</v>
      </c>
      <c r="Z52">
        <v>1.621</v>
      </c>
      <c r="AA52">
        <v>878.24109999999996</v>
      </c>
      <c r="AB52">
        <v>0</v>
      </c>
    </row>
    <row r="53" spans="1:28" x14ac:dyDescent="0.3">
      <c r="A53" s="1">
        <v>44947.326388888891</v>
      </c>
      <c r="B53">
        <v>91</v>
      </c>
      <c r="C53">
        <v>10.1</v>
      </c>
      <c r="D53">
        <v>68.319999999999993</v>
      </c>
      <c r="E53">
        <v>177</v>
      </c>
      <c r="F53">
        <v>40.090000000000003</v>
      </c>
      <c r="G53">
        <v>96.2</v>
      </c>
      <c r="I53">
        <v>4.0890000000000004</v>
      </c>
      <c r="J53">
        <f t="shared" si="0"/>
        <v>0.10222500000000001</v>
      </c>
      <c r="K53">
        <f t="shared" si="1"/>
        <v>4.0890000000000004</v>
      </c>
      <c r="N53">
        <v>15.45</v>
      </c>
      <c r="O53">
        <v>15.66</v>
      </c>
      <c r="P53">
        <v>15.18</v>
      </c>
      <c r="Q53">
        <v>0.107</v>
      </c>
      <c r="R53">
        <v>76.08</v>
      </c>
      <c r="S53">
        <v>76.89</v>
      </c>
      <c r="T53">
        <v>75.459999999999994</v>
      </c>
      <c r="U53">
        <v>0.40799999999999997</v>
      </c>
      <c r="V53">
        <v>2.1880000000000002</v>
      </c>
      <c r="W53">
        <v>3.2</v>
      </c>
      <c r="X53">
        <v>1.7</v>
      </c>
      <c r="Y53">
        <v>0.36599999999999999</v>
      </c>
      <c r="Z53">
        <v>1.67</v>
      </c>
      <c r="AA53">
        <v>878.29859999999996</v>
      </c>
      <c r="AB53">
        <v>0</v>
      </c>
    </row>
    <row r="54" spans="1:28" x14ac:dyDescent="0.3">
      <c r="A54" s="1">
        <v>44947.333333333336</v>
      </c>
      <c r="B54">
        <v>92</v>
      </c>
      <c r="C54">
        <v>10.29</v>
      </c>
      <c r="D54">
        <v>109</v>
      </c>
      <c r="E54">
        <v>277.3</v>
      </c>
      <c r="F54">
        <v>56.38</v>
      </c>
      <c r="G54">
        <v>151.4</v>
      </c>
      <c r="I54">
        <v>4.1470000000000002</v>
      </c>
      <c r="J54">
        <f t="shared" si="0"/>
        <v>0.103675</v>
      </c>
      <c r="K54">
        <f t="shared" si="1"/>
        <v>4.1470000000000002</v>
      </c>
      <c r="N54">
        <v>15.71</v>
      </c>
      <c r="O54">
        <v>15.96</v>
      </c>
      <c r="P54">
        <v>15.52</v>
      </c>
      <c r="Q54">
        <v>7.9000000000000001E-2</v>
      </c>
      <c r="R54">
        <v>75.069999999999993</v>
      </c>
      <c r="S54">
        <v>75.599999999999994</v>
      </c>
      <c r="T54">
        <v>74.47</v>
      </c>
      <c r="U54">
        <v>0.23100000000000001</v>
      </c>
      <c r="V54">
        <v>2.23</v>
      </c>
      <c r="W54">
        <v>3.2</v>
      </c>
      <c r="X54">
        <v>0.95</v>
      </c>
      <c r="Y54">
        <v>0.373</v>
      </c>
      <c r="Z54">
        <v>1.6459999999999999</v>
      </c>
      <c r="AA54">
        <v>878.495</v>
      </c>
      <c r="AB54">
        <v>0</v>
      </c>
    </row>
    <row r="55" spans="1:28" x14ac:dyDescent="0.3">
      <c r="A55" s="1">
        <v>44947.340277777781</v>
      </c>
      <c r="B55">
        <v>93</v>
      </c>
      <c r="C55">
        <v>10.56</v>
      </c>
      <c r="D55">
        <v>145.69999999999999</v>
      </c>
      <c r="E55">
        <v>381.9</v>
      </c>
      <c r="F55">
        <v>63.07</v>
      </c>
      <c r="G55">
        <v>205.7</v>
      </c>
      <c r="I55">
        <v>4.202</v>
      </c>
      <c r="J55">
        <f t="shared" si="0"/>
        <v>0.10504999999999999</v>
      </c>
      <c r="K55">
        <f t="shared" si="1"/>
        <v>4.202</v>
      </c>
      <c r="N55">
        <v>16.170000000000002</v>
      </c>
      <c r="O55">
        <v>16.579999999999998</v>
      </c>
      <c r="P55">
        <v>15.79</v>
      </c>
      <c r="Q55">
        <v>0.19600000000000001</v>
      </c>
      <c r="R55">
        <v>73.52</v>
      </c>
      <c r="S55">
        <v>74.680000000000007</v>
      </c>
      <c r="T55">
        <v>72.36</v>
      </c>
      <c r="U55">
        <v>0.68799999999999994</v>
      </c>
      <c r="V55">
        <v>1.859</v>
      </c>
      <c r="W55">
        <v>3.2</v>
      </c>
      <c r="X55">
        <v>0.95</v>
      </c>
      <c r="Y55">
        <v>0.44800000000000001</v>
      </c>
      <c r="Z55">
        <v>1.694</v>
      </c>
      <c r="AA55">
        <v>878.57680000000005</v>
      </c>
      <c r="AB55">
        <v>0</v>
      </c>
    </row>
    <row r="56" spans="1:28" x14ac:dyDescent="0.3">
      <c r="A56" s="1">
        <v>44947.347222222219</v>
      </c>
      <c r="B56">
        <v>94</v>
      </c>
      <c r="C56">
        <v>10.79</v>
      </c>
      <c r="D56">
        <v>170.5</v>
      </c>
      <c r="E56">
        <v>411.2</v>
      </c>
      <c r="F56">
        <v>65.959999999999994</v>
      </c>
      <c r="G56">
        <v>238.8</v>
      </c>
      <c r="I56">
        <v>4.3019999999999996</v>
      </c>
      <c r="J56">
        <f t="shared" si="0"/>
        <v>0.10754999999999998</v>
      </c>
      <c r="K56">
        <f t="shared" si="1"/>
        <v>4.3019999999999996</v>
      </c>
      <c r="N56">
        <v>16.940000000000001</v>
      </c>
      <c r="O56">
        <v>17.399999999999999</v>
      </c>
      <c r="P56">
        <v>16.440000000000001</v>
      </c>
      <c r="Q56">
        <v>0.22700000000000001</v>
      </c>
      <c r="R56">
        <v>71.17</v>
      </c>
      <c r="S56">
        <v>72.459999999999994</v>
      </c>
      <c r="T56">
        <v>69.94</v>
      </c>
      <c r="U56">
        <v>0.66300000000000003</v>
      </c>
      <c r="V56">
        <v>1.47</v>
      </c>
      <c r="W56">
        <v>2.4500000000000002</v>
      </c>
      <c r="X56">
        <v>0</v>
      </c>
      <c r="Y56">
        <v>0.42899999999999999</v>
      </c>
      <c r="Z56">
        <v>1.742</v>
      </c>
      <c r="AA56">
        <v>878.76490000000001</v>
      </c>
      <c r="AB56">
        <v>0</v>
      </c>
    </row>
    <row r="57" spans="1:28" x14ac:dyDescent="0.3">
      <c r="A57" s="1">
        <v>44947.354166666664</v>
      </c>
      <c r="B57">
        <v>95</v>
      </c>
      <c r="C57">
        <v>10.85</v>
      </c>
      <c r="D57">
        <v>188</v>
      </c>
      <c r="E57">
        <v>389.9</v>
      </c>
      <c r="F57">
        <v>71.150000000000006</v>
      </c>
      <c r="G57">
        <v>257.3</v>
      </c>
      <c r="I57">
        <v>4.4009999999999998</v>
      </c>
      <c r="J57">
        <f t="shared" si="0"/>
        <v>0.110025</v>
      </c>
      <c r="K57">
        <f t="shared" si="1"/>
        <v>4.4009999999999998</v>
      </c>
      <c r="N57">
        <v>17.579999999999998</v>
      </c>
      <c r="O57">
        <v>17.899999999999999</v>
      </c>
      <c r="P57">
        <v>17.260000000000002</v>
      </c>
      <c r="Q57">
        <v>0.16400000000000001</v>
      </c>
      <c r="R57">
        <v>69.459999999999994</v>
      </c>
      <c r="S57">
        <v>70.209999999999994</v>
      </c>
      <c r="T57">
        <v>68.84</v>
      </c>
      <c r="U57">
        <v>0.376</v>
      </c>
      <c r="V57">
        <v>1.25</v>
      </c>
      <c r="W57">
        <v>1.7</v>
      </c>
      <c r="X57">
        <v>0</v>
      </c>
      <c r="Y57">
        <v>0.39200000000000002</v>
      </c>
      <c r="Z57">
        <v>1.7909999999999999</v>
      </c>
      <c r="AA57">
        <v>878.89149999999995</v>
      </c>
      <c r="AB57">
        <v>0</v>
      </c>
    </row>
    <row r="58" spans="1:28" x14ac:dyDescent="0.3">
      <c r="A58" s="1">
        <v>44947.361111111109</v>
      </c>
      <c r="B58">
        <v>96</v>
      </c>
      <c r="C58">
        <v>10.81</v>
      </c>
      <c r="D58">
        <v>199.5</v>
      </c>
      <c r="E58">
        <v>344.4</v>
      </c>
      <c r="F58">
        <v>77.06</v>
      </c>
      <c r="G58">
        <v>264.8</v>
      </c>
      <c r="I58">
        <v>4.5129999999999999</v>
      </c>
      <c r="J58">
        <f t="shared" si="0"/>
        <v>0.11282499999999999</v>
      </c>
      <c r="K58">
        <f t="shared" si="1"/>
        <v>4.5129999999999999</v>
      </c>
      <c r="N58">
        <v>18.079999999999998</v>
      </c>
      <c r="O58">
        <v>18.41</v>
      </c>
      <c r="P58">
        <v>17.8</v>
      </c>
      <c r="Q58">
        <v>0.14699999999999999</v>
      </c>
      <c r="R58">
        <v>68.349999999999994</v>
      </c>
      <c r="S58">
        <v>69.12</v>
      </c>
      <c r="T58">
        <v>66.930000000000007</v>
      </c>
      <c r="U58">
        <v>0.56899999999999995</v>
      </c>
      <c r="V58">
        <v>0.375</v>
      </c>
      <c r="W58">
        <v>1.7</v>
      </c>
      <c r="X58">
        <v>0</v>
      </c>
      <c r="Y58">
        <v>0.48499999999999999</v>
      </c>
      <c r="Z58">
        <v>1.839</v>
      </c>
      <c r="AA58">
        <v>878.99630000000002</v>
      </c>
      <c r="AB58">
        <v>0</v>
      </c>
    </row>
    <row r="59" spans="1:28" x14ac:dyDescent="0.3">
      <c r="A59" s="1">
        <v>44947.368055555555</v>
      </c>
      <c r="B59">
        <v>97</v>
      </c>
      <c r="C59">
        <v>10.78</v>
      </c>
      <c r="D59">
        <v>250.9</v>
      </c>
      <c r="E59">
        <v>413.7</v>
      </c>
      <c r="F59">
        <v>92.3</v>
      </c>
      <c r="G59">
        <v>328.7</v>
      </c>
      <c r="I59">
        <v>4.6760000000000002</v>
      </c>
      <c r="J59">
        <f t="shared" si="0"/>
        <v>0.1169</v>
      </c>
      <c r="K59">
        <f t="shared" si="1"/>
        <v>4.6760000000000002</v>
      </c>
      <c r="N59">
        <v>18.71</v>
      </c>
      <c r="O59">
        <v>19.23</v>
      </c>
      <c r="P59">
        <v>18.239999999999998</v>
      </c>
      <c r="Q59">
        <v>0.23499999999999999</v>
      </c>
      <c r="R59">
        <v>65.930000000000007</v>
      </c>
      <c r="S59">
        <v>67.44</v>
      </c>
      <c r="T59">
        <v>63.15</v>
      </c>
      <c r="U59">
        <v>0.95399999999999996</v>
      </c>
      <c r="V59">
        <v>3.5999999999999997E-2</v>
      </c>
      <c r="W59">
        <v>0.95</v>
      </c>
      <c r="X59">
        <v>0</v>
      </c>
      <c r="Y59">
        <v>0.182</v>
      </c>
      <c r="Z59">
        <v>1.887</v>
      </c>
      <c r="AA59">
        <v>879.00739999999996</v>
      </c>
      <c r="AB59">
        <v>0</v>
      </c>
    </row>
    <row r="60" spans="1:28" x14ac:dyDescent="0.3">
      <c r="A60" s="1">
        <v>44947.375</v>
      </c>
      <c r="B60">
        <v>98</v>
      </c>
      <c r="C60">
        <v>10.91</v>
      </c>
      <c r="D60">
        <v>263.8</v>
      </c>
      <c r="E60">
        <v>386.2</v>
      </c>
      <c r="F60">
        <v>98.6</v>
      </c>
      <c r="G60">
        <v>337.5</v>
      </c>
      <c r="I60">
        <v>4.827</v>
      </c>
      <c r="J60">
        <f t="shared" si="0"/>
        <v>0.12067499999999999</v>
      </c>
      <c r="K60">
        <f t="shared" si="1"/>
        <v>4.827</v>
      </c>
      <c r="N60">
        <v>19.73</v>
      </c>
      <c r="O60">
        <v>20.18</v>
      </c>
      <c r="P60">
        <v>19.12</v>
      </c>
      <c r="Q60">
        <v>0.24199999999999999</v>
      </c>
      <c r="R60">
        <v>60.88</v>
      </c>
      <c r="S60">
        <v>63.28</v>
      </c>
      <c r="T60">
        <v>57.01</v>
      </c>
      <c r="U60">
        <v>1.6240000000000001</v>
      </c>
      <c r="V60">
        <v>0.01</v>
      </c>
      <c r="W60">
        <v>0.95</v>
      </c>
      <c r="X60">
        <v>0</v>
      </c>
      <c r="Y60">
        <v>9.5000000000000001E-2</v>
      </c>
      <c r="Z60">
        <v>1.96</v>
      </c>
      <c r="AA60">
        <v>879.11009999999999</v>
      </c>
      <c r="AB60">
        <v>0</v>
      </c>
    </row>
    <row r="61" spans="1:28" x14ac:dyDescent="0.3">
      <c r="A61" s="1">
        <v>44947.381944444445</v>
      </c>
      <c r="B61">
        <v>99</v>
      </c>
      <c r="C61">
        <v>10.94</v>
      </c>
      <c r="D61">
        <v>308.7</v>
      </c>
      <c r="E61">
        <v>431.7</v>
      </c>
      <c r="F61">
        <v>107.4</v>
      </c>
      <c r="G61">
        <v>392.9</v>
      </c>
      <c r="I61">
        <v>4.9989999999999997</v>
      </c>
      <c r="J61">
        <f t="shared" si="0"/>
        <v>0.12497499999999999</v>
      </c>
      <c r="K61">
        <f t="shared" si="1"/>
        <v>4.9989999999999997</v>
      </c>
      <c r="N61">
        <v>20.309999999999999</v>
      </c>
      <c r="O61">
        <v>20.76</v>
      </c>
      <c r="P61">
        <v>20.04</v>
      </c>
      <c r="Q61">
        <v>0.182</v>
      </c>
      <c r="R61">
        <v>56.84</v>
      </c>
      <c r="S61">
        <v>58.72</v>
      </c>
      <c r="T61">
        <v>55.75</v>
      </c>
      <c r="U61">
        <v>0.82799999999999996</v>
      </c>
      <c r="V61">
        <v>0.22600000000000001</v>
      </c>
      <c r="W61">
        <v>0.95</v>
      </c>
      <c r="X61">
        <v>0</v>
      </c>
      <c r="Y61">
        <v>0.40500000000000003</v>
      </c>
      <c r="Z61">
        <v>2.032</v>
      </c>
      <c r="AA61">
        <v>879.15840000000003</v>
      </c>
      <c r="AB61">
        <v>0</v>
      </c>
    </row>
    <row r="62" spans="1:28" x14ac:dyDescent="0.3">
      <c r="A62" s="1">
        <v>44947.388888888891</v>
      </c>
      <c r="B62">
        <v>100</v>
      </c>
      <c r="C62">
        <v>10.99</v>
      </c>
      <c r="D62">
        <v>330.6</v>
      </c>
      <c r="E62">
        <v>440.5</v>
      </c>
      <c r="F62">
        <v>111.1</v>
      </c>
      <c r="G62">
        <v>419.2</v>
      </c>
      <c r="I62">
        <v>5.1790000000000003</v>
      </c>
      <c r="J62">
        <f t="shared" si="0"/>
        <v>0.12947500000000001</v>
      </c>
      <c r="K62">
        <f t="shared" si="1"/>
        <v>5.1790000000000003</v>
      </c>
      <c r="N62">
        <v>21.57</v>
      </c>
      <c r="O62">
        <v>22.4</v>
      </c>
      <c r="P62">
        <v>20.59</v>
      </c>
      <c r="Q62">
        <v>0.54600000000000004</v>
      </c>
      <c r="R62">
        <v>55.23</v>
      </c>
      <c r="S62">
        <v>56.81</v>
      </c>
      <c r="T62">
        <v>53.33</v>
      </c>
      <c r="U62">
        <v>0.97799999999999998</v>
      </c>
      <c r="V62">
        <v>3.3000000000000002E-2</v>
      </c>
      <c r="W62">
        <v>0.95</v>
      </c>
      <c r="X62">
        <v>0</v>
      </c>
      <c r="Y62">
        <v>0.17499999999999999</v>
      </c>
      <c r="Z62">
        <v>1.96</v>
      </c>
      <c r="AA62">
        <v>879.15840000000003</v>
      </c>
      <c r="AB62">
        <v>0</v>
      </c>
    </row>
    <row r="63" spans="1:28" x14ac:dyDescent="0.3">
      <c r="A63" s="1">
        <v>44947.395833333336</v>
      </c>
      <c r="B63">
        <v>101</v>
      </c>
      <c r="C63">
        <v>13.22</v>
      </c>
      <c r="D63">
        <v>368.6</v>
      </c>
      <c r="E63">
        <v>479</v>
      </c>
      <c r="F63">
        <v>116.1</v>
      </c>
      <c r="G63">
        <v>464</v>
      </c>
      <c r="I63">
        <v>5.4089999999999998</v>
      </c>
      <c r="J63">
        <f t="shared" si="0"/>
        <v>0.13522499999999998</v>
      </c>
      <c r="K63">
        <f t="shared" si="1"/>
        <v>5.4089999999999989</v>
      </c>
      <c r="N63">
        <v>22.05</v>
      </c>
      <c r="O63">
        <v>22.36</v>
      </c>
      <c r="P63">
        <v>21.78</v>
      </c>
      <c r="Q63">
        <v>0.13400000000000001</v>
      </c>
      <c r="R63">
        <v>54.78</v>
      </c>
      <c r="S63">
        <v>55.38</v>
      </c>
      <c r="T63">
        <v>53.98</v>
      </c>
      <c r="U63">
        <v>0.35699999999999998</v>
      </c>
      <c r="V63">
        <v>0.45</v>
      </c>
      <c r="W63">
        <v>1.7</v>
      </c>
      <c r="X63">
        <v>0</v>
      </c>
      <c r="Y63">
        <v>0.503</v>
      </c>
      <c r="Z63">
        <v>2.032</v>
      </c>
      <c r="AA63">
        <v>879.15740000000005</v>
      </c>
      <c r="AB63">
        <v>0</v>
      </c>
    </row>
    <row r="64" spans="1:28" x14ac:dyDescent="0.3">
      <c r="A64" s="1">
        <v>44947.402777777781</v>
      </c>
      <c r="B64">
        <v>102</v>
      </c>
      <c r="C64">
        <v>13.11</v>
      </c>
      <c r="D64">
        <v>469.4</v>
      </c>
      <c r="E64">
        <v>654</v>
      </c>
      <c r="F64">
        <v>120.5</v>
      </c>
      <c r="G64">
        <v>592.70000000000005</v>
      </c>
      <c r="I64">
        <v>5.7510000000000003</v>
      </c>
      <c r="J64">
        <f t="shared" si="0"/>
        <v>0.14377500000000001</v>
      </c>
      <c r="K64">
        <f t="shared" si="1"/>
        <v>5.7510000000000003</v>
      </c>
      <c r="N64">
        <v>22.5</v>
      </c>
      <c r="O64">
        <v>22.87</v>
      </c>
      <c r="P64">
        <v>21.82</v>
      </c>
      <c r="Q64">
        <v>0.28499999999999998</v>
      </c>
      <c r="R64">
        <v>53.54</v>
      </c>
      <c r="S64">
        <v>55.44</v>
      </c>
      <c r="T64">
        <v>52.27</v>
      </c>
      <c r="U64">
        <v>0.93200000000000005</v>
      </c>
      <c r="V64">
        <v>0.61699999999999999</v>
      </c>
      <c r="W64">
        <v>2.4500000000000002</v>
      </c>
      <c r="X64">
        <v>0</v>
      </c>
      <c r="Y64">
        <v>0.59099999999999997</v>
      </c>
      <c r="Z64">
        <v>2.153</v>
      </c>
      <c r="AA64">
        <v>879.18060000000003</v>
      </c>
      <c r="AB64">
        <v>0</v>
      </c>
    </row>
    <row r="65" spans="1:28" x14ac:dyDescent="0.3">
      <c r="A65" s="1">
        <v>44947.409722222219</v>
      </c>
      <c r="B65">
        <v>103</v>
      </c>
      <c r="C65">
        <v>13.07</v>
      </c>
      <c r="D65">
        <v>499.1</v>
      </c>
      <c r="E65">
        <v>697.2</v>
      </c>
      <c r="F65">
        <v>113.8</v>
      </c>
      <c r="G65">
        <v>627.9</v>
      </c>
      <c r="I65">
        <v>6.0279999999999996</v>
      </c>
      <c r="J65">
        <f t="shared" si="0"/>
        <v>0.1507</v>
      </c>
      <c r="K65">
        <f t="shared" si="1"/>
        <v>6.0280000000000005</v>
      </c>
      <c r="N65">
        <v>23.04</v>
      </c>
      <c r="O65">
        <v>23.28</v>
      </c>
      <c r="P65">
        <v>22.77</v>
      </c>
      <c r="Q65">
        <v>9.6000000000000002E-2</v>
      </c>
      <c r="R65">
        <v>52.71</v>
      </c>
      <c r="S65">
        <v>53.46</v>
      </c>
      <c r="T65">
        <v>51.9</v>
      </c>
      <c r="U65">
        <v>0.33700000000000002</v>
      </c>
      <c r="V65">
        <v>0.98699999999999999</v>
      </c>
      <c r="W65">
        <v>3.2</v>
      </c>
      <c r="X65">
        <v>0</v>
      </c>
      <c r="Y65">
        <v>0.81299999999999994</v>
      </c>
      <c r="Z65">
        <v>2.226</v>
      </c>
      <c r="AA65">
        <v>879.14139999999998</v>
      </c>
      <c r="AB65">
        <v>0</v>
      </c>
    </row>
    <row r="66" spans="1:28" x14ac:dyDescent="0.3">
      <c r="A66" s="1">
        <v>44947.416666666664</v>
      </c>
      <c r="B66">
        <v>104</v>
      </c>
      <c r="C66">
        <v>13.09</v>
      </c>
      <c r="D66">
        <v>542.70000000000005</v>
      </c>
      <c r="E66">
        <v>747.4</v>
      </c>
      <c r="F66">
        <v>111</v>
      </c>
      <c r="G66">
        <v>679.3</v>
      </c>
      <c r="I66">
        <v>6.3460000000000001</v>
      </c>
      <c r="J66">
        <f t="shared" si="0"/>
        <v>0.15865000000000001</v>
      </c>
      <c r="K66">
        <f t="shared" si="1"/>
        <v>6.3460000000000001</v>
      </c>
      <c r="N66">
        <v>22.78</v>
      </c>
      <c r="O66">
        <v>23.21</v>
      </c>
      <c r="P66">
        <v>22.43</v>
      </c>
      <c r="Q66">
        <v>0.14799999999999999</v>
      </c>
      <c r="R66">
        <v>53.41</v>
      </c>
      <c r="S66">
        <v>54.38</v>
      </c>
      <c r="T66">
        <v>52.48</v>
      </c>
      <c r="U66">
        <v>0.39300000000000002</v>
      </c>
      <c r="V66">
        <v>1.605</v>
      </c>
      <c r="W66">
        <v>3.95</v>
      </c>
      <c r="X66">
        <v>0</v>
      </c>
      <c r="Y66">
        <v>0.67200000000000004</v>
      </c>
      <c r="Z66">
        <v>2.298</v>
      </c>
      <c r="AA66">
        <v>879.08489999999995</v>
      </c>
      <c r="AB66">
        <v>0</v>
      </c>
    </row>
    <row r="67" spans="1:28" x14ac:dyDescent="0.3">
      <c r="A67" s="1">
        <v>44947.423611111109</v>
      </c>
      <c r="B67">
        <v>105</v>
      </c>
      <c r="C67">
        <v>13.06</v>
      </c>
      <c r="D67">
        <v>566.5</v>
      </c>
      <c r="E67">
        <v>757.7</v>
      </c>
      <c r="F67">
        <v>110.2</v>
      </c>
      <c r="G67">
        <v>707</v>
      </c>
      <c r="I67">
        <v>6.6559999999999997</v>
      </c>
      <c r="J67">
        <f t="shared" si="0"/>
        <v>0.16639999999999996</v>
      </c>
      <c r="K67">
        <f t="shared" si="1"/>
        <v>6.6559999999999988</v>
      </c>
      <c r="N67">
        <v>23.02</v>
      </c>
      <c r="O67">
        <v>23.55</v>
      </c>
      <c r="P67">
        <v>22.29</v>
      </c>
      <c r="Q67">
        <v>0.4</v>
      </c>
      <c r="R67">
        <v>52.89</v>
      </c>
      <c r="S67">
        <v>54.96</v>
      </c>
      <c r="T67">
        <v>51.15</v>
      </c>
      <c r="U67">
        <v>1.119</v>
      </c>
      <c r="V67">
        <v>1.538</v>
      </c>
      <c r="W67">
        <v>3.2</v>
      </c>
      <c r="X67">
        <v>0</v>
      </c>
      <c r="Y67">
        <v>0.77500000000000002</v>
      </c>
      <c r="Z67">
        <v>2.323</v>
      </c>
      <c r="AA67">
        <v>879.0299</v>
      </c>
      <c r="AB67">
        <v>0</v>
      </c>
    </row>
    <row r="68" spans="1:28" x14ac:dyDescent="0.3">
      <c r="A68" s="1">
        <v>44947.430555555555</v>
      </c>
      <c r="B68">
        <v>106</v>
      </c>
      <c r="C68">
        <v>13.05</v>
      </c>
      <c r="D68">
        <v>577.79999999999995</v>
      </c>
      <c r="E68">
        <v>739.5</v>
      </c>
      <c r="F68">
        <v>110.6</v>
      </c>
      <c r="G68">
        <v>715.3</v>
      </c>
      <c r="I68">
        <v>6.931</v>
      </c>
      <c r="J68">
        <f t="shared" si="0"/>
        <v>0.17327500000000001</v>
      </c>
      <c r="K68">
        <f t="shared" si="1"/>
        <v>6.9310000000000009</v>
      </c>
      <c r="N68">
        <v>23.2</v>
      </c>
      <c r="O68">
        <v>23.62</v>
      </c>
      <c r="P68">
        <v>22.8</v>
      </c>
      <c r="Q68">
        <v>0.24199999999999999</v>
      </c>
      <c r="R68">
        <v>52.19</v>
      </c>
      <c r="S68">
        <v>53.5</v>
      </c>
      <c r="T68">
        <v>50.77</v>
      </c>
      <c r="U68">
        <v>0.76900000000000002</v>
      </c>
      <c r="V68">
        <v>0.95399999999999996</v>
      </c>
      <c r="W68">
        <v>3.2</v>
      </c>
      <c r="X68">
        <v>0</v>
      </c>
      <c r="Y68">
        <v>0.93100000000000005</v>
      </c>
      <c r="Z68">
        <v>2.371</v>
      </c>
      <c r="AA68">
        <v>878.90509999999995</v>
      </c>
      <c r="AB68">
        <v>0</v>
      </c>
    </row>
    <row r="69" spans="1:28" x14ac:dyDescent="0.3">
      <c r="A69" s="1">
        <v>44947.4375</v>
      </c>
      <c r="B69">
        <v>107</v>
      </c>
      <c r="C69">
        <v>13.07</v>
      </c>
      <c r="D69">
        <v>599.1</v>
      </c>
      <c r="E69">
        <v>727.4</v>
      </c>
      <c r="F69">
        <v>118.1</v>
      </c>
      <c r="G69">
        <v>737.3</v>
      </c>
      <c r="I69">
        <v>7.2149999999999999</v>
      </c>
      <c r="J69">
        <f t="shared" si="0"/>
        <v>0.18037500000000001</v>
      </c>
      <c r="K69">
        <f t="shared" si="1"/>
        <v>7.2149999999999999</v>
      </c>
      <c r="N69">
        <v>23.75</v>
      </c>
      <c r="O69">
        <v>24.2</v>
      </c>
      <c r="P69">
        <v>22.97</v>
      </c>
      <c r="Q69">
        <v>0.33900000000000002</v>
      </c>
      <c r="R69">
        <v>50.66</v>
      </c>
      <c r="S69">
        <v>52.85</v>
      </c>
      <c r="T69">
        <v>49.44</v>
      </c>
      <c r="U69">
        <v>0.875</v>
      </c>
      <c r="V69">
        <v>1.1819999999999999</v>
      </c>
      <c r="W69">
        <v>3.2</v>
      </c>
      <c r="X69">
        <v>0</v>
      </c>
      <c r="Y69">
        <v>0.82799999999999996</v>
      </c>
      <c r="Z69">
        <v>2.516</v>
      </c>
      <c r="AA69">
        <v>878.90859999999998</v>
      </c>
      <c r="AB69">
        <v>0</v>
      </c>
    </row>
    <row r="70" spans="1:28" x14ac:dyDescent="0.3">
      <c r="A70" s="1">
        <v>44947.444444444445</v>
      </c>
      <c r="B70">
        <v>108</v>
      </c>
      <c r="C70">
        <v>12.95</v>
      </c>
      <c r="D70">
        <v>567.9</v>
      </c>
      <c r="E70">
        <v>641.1</v>
      </c>
      <c r="F70">
        <v>118.3</v>
      </c>
      <c r="G70">
        <v>694.9</v>
      </c>
      <c r="I70">
        <v>7.3220000000000001</v>
      </c>
      <c r="J70">
        <f t="shared" si="0"/>
        <v>0.18305000000000002</v>
      </c>
      <c r="K70">
        <f t="shared" si="1"/>
        <v>7.322000000000001</v>
      </c>
      <c r="N70">
        <v>23.39</v>
      </c>
      <c r="O70">
        <v>23.95</v>
      </c>
      <c r="P70">
        <v>22.86</v>
      </c>
      <c r="Q70">
        <v>0.32900000000000001</v>
      </c>
      <c r="R70">
        <v>51.74</v>
      </c>
      <c r="S70">
        <v>53.36</v>
      </c>
      <c r="T70">
        <v>50.12</v>
      </c>
      <c r="U70">
        <v>0.874</v>
      </c>
      <c r="V70">
        <v>1.3</v>
      </c>
      <c r="W70">
        <v>4.7</v>
      </c>
      <c r="X70">
        <v>0</v>
      </c>
      <c r="Y70">
        <v>1.0529999999999999</v>
      </c>
      <c r="Z70">
        <v>2.492</v>
      </c>
      <c r="AA70">
        <v>878.84609999999998</v>
      </c>
      <c r="AB70">
        <v>0</v>
      </c>
    </row>
    <row r="71" spans="1:28" x14ac:dyDescent="0.3">
      <c r="A71" s="1">
        <v>44947.451388888891</v>
      </c>
      <c r="B71">
        <v>109</v>
      </c>
      <c r="C71">
        <v>13.03</v>
      </c>
      <c r="D71">
        <v>647.79999999999995</v>
      </c>
      <c r="E71">
        <v>745.5</v>
      </c>
      <c r="F71">
        <v>119.2</v>
      </c>
      <c r="G71">
        <v>790.5</v>
      </c>
      <c r="I71">
        <v>7.7670000000000003</v>
      </c>
      <c r="J71">
        <f t="shared" ref="J71:J134" si="2">(I71/0.04)/1000</f>
        <v>0.19417500000000001</v>
      </c>
      <c r="K71">
        <f t="shared" ref="K71:K134" si="3">J71*$L$5</f>
        <v>7.7670000000000003</v>
      </c>
      <c r="N71">
        <v>23.62</v>
      </c>
      <c r="O71">
        <v>24.26</v>
      </c>
      <c r="P71">
        <v>23.33</v>
      </c>
      <c r="Q71">
        <v>0.20699999999999999</v>
      </c>
      <c r="R71">
        <v>51.33</v>
      </c>
      <c r="S71">
        <v>52.5</v>
      </c>
      <c r="T71">
        <v>49.61</v>
      </c>
      <c r="U71">
        <v>0.73</v>
      </c>
      <c r="V71">
        <v>1.7490000000000001</v>
      </c>
      <c r="W71">
        <v>3.95</v>
      </c>
      <c r="X71">
        <v>0</v>
      </c>
      <c r="Y71">
        <v>1.002</v>
      </c>
      <c r="Z71">
        <v>2.5880000000000001</v>
      </c>
      <c r="AA71">
        <v>878.82550000000003</v>
      </c>
      <c r="AB71">
        <v>0</v>
      </c>
    </row>
    <row r="72" spans="1:28" x14ac:dyDescent="0.3">
      <c r="A72" s="1">
        <v>44947.458333333336</v>
      </c>
      <c r="B72">
        <v>110</v>
      </c>
      <c r="C72">
        <v>13.04</v>
      </c>
      <c r="D72">
        <v>698.9</v>
      </c>
      <c r="E72">
        <v>820</v>
      </c>
      <c r="F72">
        <v>113.6</v>
      </c>
      <c r="G72">
        <v>850</v>
      </c>
      <c r="I72">
        <v>8.18</v>
      </c>
      <c r="J72">
        <f t="shared" si="2"/>
        <v>0.20449999999999999</v>
      </c>
      <c r="K72">
        <f t="shared" si="3"/>
        <v>8.18</v>
      </c>
      <c r="N72">
        <v>24.19</v>
      </c>
      <c r="O72">
        <v>24.73</v>
      </c>
      <c r="P72">
        <v>23.61</v>
      </c>
      <c r="Q72">
        <v>0.30399999999999999</v>
      </c>
      <c r="R72">
        <v>49.59</v>
      </c>
      <c r="S72">
        <v>51.68</v>
      </c>
      <c r="T72">
        <v>48</v>
      </c>
      <c r="U72">
        <v>0.98599999999999999</v>
      </c>
      <c r="V72">
        <v>1.389</v>
      </c>
      <c r="W72">
        <v>3.95</v>
      </c>
      <c r="X72">
        <v>0</v>
      </c>
      <c r="Y72">
        <v>1.087</v>
      </c>
      <c r="Z72">
        <v>2.5880000000000001</v>
      </c>
      <c r="AA72">
        <v>878.76969999999994</v>
      </c>
      <c r="AB72">
        <v>0</v>
      </c>
    </row>
    <row r="73" spans="1:28" x14ac:dyDescent="0.3">
      <c r="A73" s="1">
        <v>44947.465277777781</v>
      </c>
      <c r="B73">
        <v>111</v>
      </c>
      <c r="C73">
        <v>13.03</v>
      </c>
      <c r="D73">
        <v>697.4</v>
      </c>
      <c r="E73">
        <v>797.1</v>
      </c>
      <c r="F73">
        <v>112.9</v>
      </c>
      <c r="G73">
        <v>844</v>
      </c>
      <c r="I73">
        <v>8.39</v>
      </c>
      <c r="J73">
        <f t="shared" si="2"/>
        <v>0.20974999999999999</v>
      </c>
      <c r="K73">
        <f t="shared" si="3"/>
        <v>8.39</v>
      </c>
      <c r="N73">
        <v>24.28</v>
      </c>
      <c r="O73">
        <v>24.59</v>
      </c>
      <c r="P73">
        <v>23.98</v>
      </c>
      <c r="Q73">
        <v>0.14000000000000001</v>
      </c>
      <c r="R73">
        <v>48.76</v>
      </c>
      <c r="S73">
        <v>49.57</v>
      </c>
      <c r="T73">
        <v>47.87</v>
      </c>
      <c r="U73">
        <v>0.40400000000000003</v>
      </c>
      <c r="V73">
        <v>0.77900000000000003</v>
      </c>
      <c r="W73">
        <v>3.2</v>
      </c>
      <c r="X73">
        <v>0</v>
      </c>
      <c r="Y73">
        <v>0.81399999999999995</v>
      </c>
      <c r="Z73">
        <v>2.637</v>
      </c>
      <c r="AA73">
        <v>878.70830000000001</v>
      </c>
      <c r="AB73">
        <v>0</v>
      </c>
    </row>
    <row r="74" spans="1:28" x14ac:dyDescent="0.3">
      <c r="A74" s="1">
        <v>44947.472222222219</v>
      </c>
      <c r="B74">
        <v>112</v>
      </c>
      <c r="C74">
        <v>13.03</v>
      </c>
      <c r="D74">
        <v>716.1</v>
      </c>
      <c r="E74">
        <v>789.9</v>
      </c>
      <c r="F74">
        <v>120.1</v>
      </c>
      <c r="G74">
        <v>864</v>
      </c>
      <c r="I74">
        <v>8.6300000000000008</v>
      </c>
      <c r="J74">
        <f t="shared" si="2"/>
        <v>0.21575000000000003</v>
      </c>
      <c r="K74">
        <f t="shared" si="3"/>
        <v>8.6300000000000008</v>
      </c>
      <c r="N74">
        <v>24.67</v>
      </c>
      <c r="O74">
        <v>24.9</v>
      </c>
      <c r="P74">
        <v>24.46</v>
      </c>
      <c r="Q74">
        <v>0.104</v>
      </c>
      <c r="R74">
        <v>48.14</v>
      </c>
      <c r="S74">
        <v>49.13</v>
      </c>
      <c r="T74">
        <v>47.42</v>
      </c>
      <c r="U74">
        <v>0.32800000000000001</v>
      </c>
      <c r="V74">
        <v>1.3320000000000001</v>
      </c>
      <c r="W74">
        <v>3.2</v>
      </c>
      <c r="X74">
        <v>0</v>
      </c>
      <c r="Y74">
        <v>0.83199999999999996</v>
      </c>
      <c r="Z74">
        <v>2.6850000000000001</v>
      </c>
      <c r="AA74">
        <v>878.56219999999996</v>
      </c>
      <c r="AB74">
        <v>0</v>
      </c>
    </row>
    <row r="75" spans="1:28" x14ac:dyDescent="0.3">
      <c r="A75" s="1">
        <v>44947.479166666664</v>
      </c>
      <c r="B75">
        <v>113</v>
      </c>
      <c r="C75">
        <v>13</v>
      </c>
      <c r="D75">
        <v>759.1</v>
      </c>
      <c r="E75">
        <v>804</v>
      </c>
      <c r="F75">
        <v>138.6</v>
      </c>
      <c r="G75">
        <v>913</v>
      </c>
      <c r="I75">
        <v>8.9499999999999993</v>
      </c>
      <c r="J75">
        <f t="shared" si="2"/>
        <v>0.22374999999999998</v>
      </c>
      <c r="K75">
        <f t="shared" si="3"/>
        <v>8.9499999999999993</v>
      </c>
      <c r="N75">
        <v>24.37</v>
      </c>
      <c r="O75">
        <v>25</v>
      </c>
      <c r="P75">
        <v>23.94</v>
      </c>
      <c r="Q75">
        <v>0.27200000000000002</v>
      </c>
      <c r="R75">
        <v>48.69</v>
      </c>
      <c r="S75">
        <v>49.6</v>
      </c>
      <c r="T75">
        <v>47.32</v>
      </c>
      <c r="U75">
        <v>0.60399999999999998</v>
      </c>
      <c r="V75">
        <v>1.339</v>
      </c>
      <c r="W75">
        <v>3.95</v>
      </c>
      <c r="X75">
        <v>0</v>
      </c>
      <c r="Y75">
        <v>0.76600000000000001</v>
      </c>
      <c r="Z75">
        <v>2.661</v>
      </c>
      <c r="AA75">
        <v>878.41269999999997</v>
      </c>
      <c r="AB75">
        <v>0</v>
      </c>
    </row>
    <row r="76" spans="1:28" x14ac:dyDescent="0.3">
      <c r="A76" s="1">
        <v>44947.486111111109</v>
      </c>
      <c r="B76">
        <v>114</v>
      </c>
      <c r="C76">
        <v>12.99</v>
      </c>
      <c r="D76">
        <v>702.1</v>
      </c>
      <c r="E76">
        <v>687.1</v>
      </c>
      <c r="F76">
        <v>148.19999999999999</v>
      </c>
      <c r="G76">
        <v>842</v>
      </c>
      <c r="I76">
        <v>8.83</v>
      </c>
      <c r="J76">
        <f t="shared" si="2"/>
        <v>0.22075</v>
      </c>
      <c r="K76">
        <f t="shared" si="3"/>
        <v>8.83</v>
      </c>
      <c r="N76">
        <v>25.44</v>
      </c>
      <c r="O76">
        <v>25.85</v>
      </c>
      <c r="P76">
        <v>24.73</v>
      </c>
      <c r="Q76">
        <v>0.25700000000000001</v>
      </c>
      <c r="R76">
        <v>46.18</v>
      </c>
      <c r="S76">
        <v>48.24</v>
      </c>
      <c r="T76">
        <v>45.34</v>
      </c>
      <c r="U76">
        <v>0.61</v>
      </c>
      <c r="V76">
        <v>1.4330000000000001</v>
      </c>
      <c r="W76">
        <v>3.95</v>
      </c>
      <c r="X76">
        <v>0</v>
      </c>
      <c r="Y76">
        <v>1.1439999999999999</v>
      </c>
      <c r="Z76">
        <v>2.7570000000000001</v>
      </c>
      <c r="AA76">
        <v>878.30160000000001</v>
      </c>
      <c r="AB76">
        <v>0</v>
      </c>
    </row>
    <row r="77" spans="1:28" x14ac:dyDescent="0.3">
      <c r="A77" s="1">
        <v>44947.493055555555</v>
      </c>
      <c r="B77">
        <v>115</v>
      </c>
      <c r="C77">
        <v>12.99</v>
      </c>
      <c r="D77">
        <v>736.3</v>
      </c>
      <c r="E77">
        <v>708.5</v>
      </c>
      <c r="F77">
        <v>152.80000000000001</v>
      </c>
      <c r="G77">
        <v>879</v>
      </c>
      <c r="I77">
        <v>9.06</v>
      </c>
      <c r="J77">
        <f t="shared" si="2"/>
        <v>0.22650000000000001</v>
      </c>
      <c r="K77">
        <f t="shared" si="3"/>
        <v>9.06</v>
      </c>
      <c r="N77">
        <v>24.67</v>
      </c>
      <c r="O77">
        <v>25.31</v>
      </c>
      <c r="P77">
        <v>24.35</v>
      </c>
      <c r="Q77">
        <v>0.21099999999999999</v>
      </c>
      <c r="R77">
        <v>47.85</v>
      </c>
      <c r="S77">
        <v>49.46</v>
      </c>
      <c r="T77">
        <v>46.64</v>
      </c>
      <c r="U77">
        <v>0.67600000000000005</v>
      </c>
      <c r="V77">
        <v>1.22</v>
      </c>
      <c r="W77">
        <v>3.95</v>
      </c>
      <c r="X77">
        <v>0</v>
      </c>
      <c r="Y77">
        <v>1.075</v>
      </c>
      <c r="Z77">
        <v>2.8780000000000001</v>
      </c>
      <c r="AA77">
        <v>878.13580000000002</v>
      </c>
      <c r="AB77">
        <v>0</v>
      </c>
    </row>
    <row r="78" spans="1:28" x14ac:dyDescent="0.3">
      <c r="A78" s="1">
        <v>44947.5</v>
      </c>
      <c r="B78">
        <v>116</v>
      </c>
      <c r="C78">
        <v>13</v>
      </c>
      <c r="D78">
        <v>744.5</v>
      </c>
      <c r="E78">
        <v>722.8</v>
      </c>
      <c r="F78">
        <v>147</v>
      </c>
      <c r="G78">
        <v>885</v>
      </c>
      <c r="I78">
        <v>9.27</v>
      </c>
      <c r="J78">
        <f t="shared" si="2"/>
        <v>0.23174999999999998</v>
      </c>
      <c r="K78">
        <f t="shared" si="3"/>
        <v>9.27</v>
      </c>
      <c r="N78">
        <v>24.1</v>
      </c>
      <c r="O78">
        <v>24.59</v>
      </c>
      <c r="P78">
        <v>23.6</v>
      </c>
      <c r="Q78">
        <v>0.27800000000000002</v>
      </c>
      <c r="R78">
        <v>49.15</v>
      </c>
      <c r="S78">
        <v>50.28</v>
      </c>
      <c r="T78">
        <v>47.66</v>
      </c>
      <c r="U78">
        <v>0.76100000000000001</v>
      </c>
      <c r="V78">
        <v>1.107</v>
      </c>
      <c r="W78">
        <v>4.7</v>
      </c>
      <c r="X78">
        <v>0</v>
      </c>
      <c r="Y78">
        <v>1.18</v>
      </c>
      <c r="Z78">
        <v>2.806</v>
      </c>
      <c r="AA78">
        <v>877.90269999999998</v>
      </c>
      <c r="AB78">
        <v>0</v>
      </c>
    </row>
    <row r="79" spans="1:28" x14ac:dyDescent="0.3">
      <c r="A79" s="1">
        <v>44947.506944444445</v>
      </c>
      <c r="B79">
        <v>117</v>
      </c>
      <c r="C79">
        <v>13.01</v>
      </c>
      <c r="D79">
        <v>803</v>
      </c>
      <c r="E79">
        <v>836</v>
      </c>
      <c r="F79">
        <v>126.6</v>
      </c>
      <c r="G79">
        <v>957</v>
      </c>
      <c r="I79">
        <v>9.7100000000000009</v>
      </c>
      <c r="J79">
        <f t="shared" si="2"/>
        <v>0.24275000000000002</v>
      </c>
      <c r="K79">
        <f t="shared" si="3"/>
        <v>9.7100000000000009</v>
      </c>
      <c r="N79">
        <v>25.07</v>
      </c>
      <c r="O79">
        <v>26.05</v>
      </c>
      <c r="P79">
        <v>24.52</v>
      </c>
      <c r="Q79">
        <v>0.41199999999999998</v>
      </c>
      <c r="R79">
        <v>46.76</v>
      </c>
      <c r="S79">
        <v>47.97</v>
      </c>
      <c r="T79">
        <v>44.08</v>
      </c>
      <c r="U79">
        <v>0.99</v>
      </c>
      <c r="V79">
        <v>1.075</v>
      </c>
      <c r="W79">
        <v>3.2</v>
      </c>
      <c r="X79">
        <v>0</v>
      </c>
      <c r="Y79">
        <v>0.874</v>
      </c>
      <c r="Z79">
        <v>2.806</v>
      </c>
      <c r="AA79">
        <v>877.70939999999996</v>
      </c>
      <c r="AB79">
        <v>0</v>
      </c>
    </row>
    <row r="80" spans="1:28" x14ac:dyDescent="0.3">
      <c r="A80" s="1">
        <v>44947.513888888891</v>
      </c>
      <c r="B80">
        <v>118</v>
      </c>
      <c r="C80">
        <v>13</v>
      </c>
      <c r="D80">
        <v>814</v>
      </c>
      <c r="E80">
        <v>832</v>
      </c>
      <c r="F80">
        <v>129.19999999999999</v>
      </c>
      <c r="G80">
        <v>968</v>
      </c>
      <c r="I80">
        <v>9.89</v>
      </c>
      <c r="J80">
        <f t="shared" si="2"/>
        <v>0.24725</v>
      </c>
      <c r="K80">
        <f t="shared" si="3"/>
        <v>9.89</v>
      </c>
      <c r="N80">
        <v>25.75</v>
      </c>
      <c r="O80">
        <v>26.09</v>
      </c>
      <c r="P80">
        <v>25.41</v>
      </c>
      <c r="Q80">
        <v>0.16900000000000001</v>
      </c>
      <c r="R80">
        <v>44.41</v>
      </c>
      <c r="S80">
        <v>45.34</v>
      </c>
      <c r="T80">
        <v>43.67</v>
      </c>
      <c r="U80">
        <v>0.38800000000000001</v>
      </c>
      <c r="V80">
        <v>2.181</v>
      </c>
      <c r="W80">
        <v>4.7</v>
      </c>
      <c r="X80">
        <v>0</v>
      </c>
      <c r="Y80">
        <v>1.242</v>
      </c>
      <c r="Z80">
        <v>2.83</v>
      </c>
      <c r="AA80">
        <v>877.47979999999995</v>
      </c>
      <c r="AB80">
        <v>0</v>
      </c>
    </row>
    <row r="81" spans="1:28" x14ac:dyDescent="0.3">
      <c r="A81" s="1">
        <v>44947.520833333336</v>
      </c>
      <c r="B81">
        <v>119</v>
      </c>
      <c r="C81">
        <v>13</v>
      </c>
      <c r="D81">
        <v>781.9</v>
      </c>
      <c r="E81">
        <v>785.2</v>
      </c>
      <c r="F81">
        <v>130</v>
      </c>
      <c r="G81">
        <v>928</v>
      </c>
      <c r="I81">
        <v>9.77</v>
      </c>
      <c r="J81">
        <f t="shared" si="2"/>
        <v>0.24424999999999997</v>
      </c>
      <c r="K81">
        <f t="shared" si="3"/>
        <v>9.77</v>
      </c>
      <c r="N81">
        <v>25.69</v>
      </c>
      <c r="O81">
        <v>26.02</v>
      </c>
      <c r="P81">
        <v>25.41</v>
      </c>
      <c r="Q81">
        <v>0.14799999999999999</v>
      </c>
      <c r="R81">
        <v>44.23</v>
      </c>
      <c r="S81">
        <v>45.14</v>
      </c>
      <c r="T81">
        <v>43.06</v>
      </c>
      <c r="U81">
        <v>0.51200000000000001</v>
      </c>
      <c r="V81">
        <v>1.22</v>
      </c>
      <c r="W81">
        <v>3.2</v>
      </c>
      <c r="X81">
        <v>0</v>
      </c>
      <c r="Y81">
        <v>0.85099999999999998</v>
      </c>
      <c r="Z81">
        <v>2.806</v>
      </c>
      <c r="AA81">
        <v>877.2568</v>
      </c>
      <c r="AB81">
        <v>0</v>
      </c>
    </row>
    <row r="82" spans="1:28" x14ac:dyDescent="0.3">
      <c r="A82" s="1">
        <v>44947.527777777781</v>
      </c>
      <c r="B82">
        <v>120</v>
      </c>
      <c r="C82">
        <v>12.99</v>
      </c>
      <c r="D82">
        <v>817</v>
      </c>
      <c r="E82">
        <v>842</v>
      </c>
      <c r="F82">
        <v>123.9</v>
      </c>
      <c r="G82">
        <v>970</v>
      </c>
      <c r="I82">
        <v>9.9</v>
      </c>
      <c r="J82">
        <f t="shared" si="2"/>
        <v>0.2475</v>
      </c>
      <c r="K82">
        <f t="shared" si="3"/>
        <v>9.9</v>
      </c>
      <c r="N82">
        <v>25.6</v>
      </c>
      <c r="O82">
        <v>26.09</v>
      </c>
      <c r="P82">
        <v>24.76</v>
      </c>
      <c r="Q82">
        <v>0.28599999999999998</v>
      </c>
      <c r="R82">
        <v>44.07</v>
      </c>
      <c r="S82">
        <v>46.02</v>
      </c>
      <c r="T82">
        <v>42.75</v>
      </c>
      <c r="U82">
        <v>0.73899999999999999</v>
      </c>
      <c r="V82">
        <v>1.528</v>
      </c>
      <c r="W82">
        <v>3.95</v>
      </c>
      <c r="X82">
        <v>0</v>
      </c>
      <c r="Y82">
        <v>0.67800000000000005</v>
      </c>
      <c r="Z82">
        <v>2.7570000000000001</v>
      </c>
      <c r="AA82">
        <v>876.98069999999996</v>
      </c>
      <c r="AB82">
        <v>0</v>
      </c>
    </row>
    <row r="83" spans="1:28" x14ac:dyDescent="0.3">
      <c r="A83" s="1">
        <v>44947.534722222219</v>
      </c>
      <c r="B83">
        <v>121</v>
      </c>
      <c r="C83">
        <v>12.99</v>
      </c>
      <c r="D83">
        <v>822</v>
      </c>
      <c r="E83">
        <v>848</v>
      </c>
      <c r="F83">
        <v>123.9</v>
      </c>
      <c r="G83">
        <v>976</v>
      </c>
      <c r="I83">
        <v>9.89</v>
      </c>
      <c r="J83">
        <f t="shared" si="2"/>
        <v>0.24725</v>
      </c>
      <c r="K83">
        <f t="shared" si="3"/>
        <v>9.89</v>
      </c>
      <c r="N83">
        <v>25.21</v>
      </c>
      <c r="O83">
        <v>26.09</v>
      </c>
      <c r="P83">
        <v>24.59</v>
      </c>
      <c r="Q83">
        <v>0.47099999999999997</v>
      </c>
      <c r="R83">
        <v>45.53</v>
      </c>
      <c r="S83">
        <v>46.87</v>
      </c>
      <c r="T83">
        <v>43.33</v>
      </c>
      <c r="U83">
        <v>1.0669999999999999</v>
      </c>
      <c r="V83">
        <v>1.784</v>
      </c>
      <c r="W83">
        <v>4.7</v>
      </c>
      <c r="X83">
        <v>0</v>
      </c>
      <c r="Y83">
        <v>1.048</v>
      </c>
      <c r="Z83">
        <v>2.8780000000000001</v>
      </c>
      <c r="AA83">
        <v>876.6925</v>
      </c>
      <c r="AB83">
        <v>0</v>
      </c>
    </row>
    <row r="84" spans="1:28" x14ac:dyDescent="0.3">
      <c r="A84" s="1">
        <v>44947.541666666664</v>
      </c>
      <c r="B84">
        <v>122</v>
      </c>
      <c r="C84">
        <v>12.98</v>
      </c>
      <c r="D84">
        <v>828</v>
      </c>
      <c r="E84">
        <v>857</v>
      </c>
      <c r="F84">
        <v>124.6</v>
      </c>
      <c r="G84">
        <v>981</v>
      </c>
      <c r="I84">
        <v>9.85</v>
      </c>
      <c r="J84">
        <f t="shared" si="2"/>
        <v>0.24625</v>
      </c>
      <c r="K84">
        <f t="shared" si="3"/>
        <v>9.85</v>
      </c>
      <c r="N84">
        <v>25.71</v>
      </c>
      <c r="O84">
        <v>26.19</v>
      </c>
      <c r="P84">
        <v>25.17</v>
      </c>
      <c r="Q84">
        <v>0.28100000000000003</v>
      </c>
      <c r="R84">
        <v>44.07</v>
      </c>
      <c r="S84">
        <v>45.38</v>
      </c>
      <c r="T84">
        <v>42.86</v>
      </c>
      <c r="U84">
        <v>0.50900000000000001</v>
      </c>
      <c r="V84">
        <v>2.2799999999999998</v>
      </c>
      <c r="W84">
        <v>5.45</v>
      </c>
      <c r="X84">
        <v>0</v>
      </c>
      <c r="Y84">
        <v>1.403</v>
      </c>
      <c r="Z84">
        <v>2.8780000000000001</v>
      </c>
      <c r="AA84">
        <v>876.46540000000005</v>
      </c>
      <c r="AB84">
        <v>0</v>
      </c>
    </row>
    <row r="85" spans="1:28" x14ac:dyDescent="0.3">
      <c r="A85" s="1">
        <v>44947.548611111109</v>
      </c>
      <c r="B85">
        <v>123</v>
      </c>
      <c r="C85">
        <v>12.98</v>
      </c>
      <c r="D85">
        <v>819</v>
      </c>
      <c r="E85">
        <v>850</v>
      </c>
      <c r="F85">
        <v>125.2</v>
      </c>
      <c r="G85">
        <v>971</v>
      </c>
      <c r="I85">
        <v>9.7100000000000009</v>
      </c>
      <c r="J85">
        <f t="shared" si="2"/>
        <v>0.24275000000000002</v>
      </c>
      <c r="K85">
        <f t="shared" si="3"/>
        <v>9.7100000000000009</v>
      </c>
      <c r="N85">
        <v>26.52</v>
      </c>
      <c r="O85">
        <v>27.01</v>
      </c>
      <c r="P85">
        <v>26.02</v>
      </c>
      <c r="Q85">
        <v>0.29099999999999998</v>
      </c>
      <c r="R85">
        <v>41.95</v>
      </c>
      <c r="S85">
        <v>43.47</v>
      </c>
      <c r="T85">
        <v>40.44</v>
      </c>
      <c r="U85">
        <v>0.83299999999999996</v>
      </c>
      <c r="V85">
        <v>2.1150000000000002</v>
      </c>
      <c r="W85">
        <v>5.45</v>
      </c>
      <c r="X85">
        <v>0</v>
      </c>
      <c r="Y85">
        <v>0.79700000000000004</v>
      </c>
      <c r="Z85">
        <v>2.83</v>
      </c>
      <c r="AA85">
        <v>876.22280000000001</v>
      </c>
      <c r="AB85">
        <v>0</v>
      </c>
    </row>
    <row r="86" spans="1:28" x14ac:dyDescent="0.3">
      <c r="A86" s="1">
        <v>44947.555555555555</v>
      </c>
      <c r="B86">
        <v>124</v>
      </c>
      <c r="C86">
        <v>12.97</v>
      </c>
      <c r="D86">
        <v>814</v>
      </c>
      <c r="E86">
        <v>844</v>
      </c>
      <c r="F86">
        <v>128.1</v>
      </c>
      <c r="G86">
        <v>966</v>
      </c>
      <c r="I86">
        <v>9.56</v>
      </c>
      <c r="J86">
        <f t="shared" si="2"/>
        <v>0.23899999999999999</v>
      </c>
      <c r="K86">
        <f t="shared" si="3"/>
        <v>9.5599999999999987</v>
      </c>
      <c r="N86">
        <v>26.32</v>
      </c>
      <c r="O86">
        <v>26.7</v>
      </c>
      <c r="P86">
        <v>25.95</v>
      </c>
      <c r="Q86">
        <v>0.20300000000000001</v>
      </c>
      <c r="R86">
        <v>42.32</v>
      </c>
      <c r="S86">
        <v>43.57</v>
      </c>
      <c r="T86">
        <v>41.02</v>
      </c>
      <c r="U86">
        <v>0.51200000000000001</v>
      </c>
      <c r="V86">
        <v>1.8380000000000001</v>
      </c>
      <c r="W86">
        <v>5.45</v>
      </c>
      <c r="X86">
        <v>0</v>
      </c>
      <c r="Y86">
        <v>1.218</v>
      </c>
      <c r="Z86">
        <v>2.927</v>
      </c>
      <c r="AA86">
        <v>876.00009999999997</v>
      </c>
      <c r="AB86">
        <v>0</v>
      </c>
    </row>
    <row r="87" spans="1:28" x14ac:dyDescent="0.3">
      <c r="A87" s="1">
        <v>44947.5625</v>
      </c>
      <c r="B87">
        <v>125</v>
      </c>
      <c r="C87">
        <v>12.98</v>
      </c>
      <c r="D87">
        <v>813</v>
      </c>
      <c r="E87">
        <v>843</v>
      </c>
      <c r="F87">
        <v>131.30000000000001</v>
      </c>
      <c r="G87">
        <v>964</v>
      </c>
      <c r="I87">
        <v>9.41</v>
      </c>
      <c r="J87">
        <f t="shared" si="2"/>
        <v>0.23524999999999999</v>
      </c>
      <c r="K87">
        <f t="shared" si="3"/>
        <v>9.41</v>
      </c>
      <c r="N87">
        <v>26.05</v>
      </c>
      <c r="O87">
        <v>26.57</v>
      </c>
      <c r="P87">
        <v>25.61</v>
      </c>
      <c r="Q87">
        <v>0.26900000000000002</v>
      </c>
      <c r="R87">
        <v>42.96</v>
      </c>
      <c r="S87">
        <v>44.12</v>
      </c>
      <c r="T87">
        <v>41.8</v>
      </c>
      <c r="U87">
        <v>0.53200000000000003</v>
      </c>
      <c r="V87">
        <v>2.4710000000000001</v>
      </c>
      <c r="W87">
        <v>6.2</v>
      </c>
      <c r="X87">
        <v>0</v>
      </c>
      <c r="Y87">
        <v>1.1220000000000001</v>
      </c>
      <c r="Z87">
        <v>2.9020000000000001</v>
      </c>
      <c r="AA87">
        <v>875.78660000000002</v>
      </c>
      <c r="AB87">
        <v>0</v>
      </c>
    </row>
    <row r="88" spans="1:28" x14ac:dyDescent="0.3">
      <c r="A88" s="1">
        <v>44947.569444444445</v>
      </c>
      <c r="B88">
        <v>126</v>
      </c>
      <c r="C88">
        <v>12.97</v>
      </c>
      <c r="D88">
        <v>812</v>
      </c>
      <c r="E88">
        <v>850</v>
      </c>
      <c r="F88">
        <v>131.9</v>
      </c>
      <c r="G88">
        <v>964</v>
      </c>
      <c r="I88">
        <v>9.34</v>
      </c>
      <c r="J88">
        <f t="shared" si="2"/>
        <v>0.23350000000000001</v>
      </c>
      <c r="K88">
        <f t="shared" si="3"/>
        <v>9.34</v>
      </c>
      <c r="N88">
        <v>26.67</v>
      </c>
      <c r="O88">
        <v>27.25</v>
      </c>
      <c r="P88">
        <v>25.75</v>
      </c>
      <c r="Q88">
        <v>0.41299999999999998</v>
      </c>
      <c r="R88">
        <v>41.4</v>
      </c>
      <c r="S88">
        <v>43.43</v>
      </c>
      <c r="T88">
        <v>39.69</v>
      </c>
      <c r="U88">
        <v>0.92700000000000005</v>
      </c>
      <c r="V88">
        <v>1.929</v>
      </c>
      <c r="W88">
        <v>5.45</v>
      </c>
      <c r="X88">
        <v>0</v>
      </c>
      <c r="Y88">
        <v>1.2350000000000001</v>
      </c>
      <c r="Z88">
        <v>2.8540000000000001</v>
      </c>
      <c r="AA88">
        <v>875.51319999999998</v>
      </c>
      <c r="AB88">
        <v>0</v>
      </c>
    </row>
    <row r="89" spans="1:28" x14ac:dyDescent="0.3">
      <c r="A89" s="1">
        <v>44947.576388888891</v>
      </c>
      <c r="B89">
        <v>127</v>
      </c>
      <c r="C89">
        <v>12.98</v>
      </c>
      <c r="D89">
        <v>781.6</v>
      </c>
      <c r="E89">
        <v>828</v>
      </c>
      <c r="F89">
        <v>126.1</v>
      </c>
      <c r="G89">
        <v>928</v>
      </c>
      <c r="I89">
        <v>9.15</v>
      </c>
      <c r="J89">
        <f t="shared" si="2"/>
        <v>0.22875000000000001</v>
      </c>
      <c r="K89">
        <f t="shared" si="3"/>
        <v>9.15</v>
      </c>
      <c r="N89">
        <v>27.1</v>
      </c>
      <c r="O89">
        <v>27.49</v>
      </c>
      <c r="P89">
        <v>26.7</v>
      </c>
      <c r="Q89">
        <v>0.184</v>
      </c>
      <c r="R89">
        <v>39.51</v>
      </c>
      <c r="S89">
        <v>40.61</v>
      </c>
      <c r="T89">
        <v>37.81</v>
      </c>
      <c r="U89">
        <v>0.59399999999999997</v>
      </c>
      <c r="V89">
        <v>3.109</v>
      </c>
      <c r="W89">
        <v>7.7</v>
      </c>
      <c r="X89">
        <v>0</v>
      </c>
      <c r="Y89">
        <v>1.4490000000000001</v>
      </c>
      <c r="Z89">
        <v>2.8780000000000001</v>
      </c>
      <c r="AA89">
        <v>875.18399999999997</v>
      </c>
      <c r="AB89">
        <v>0</v>
      </c>
    </row>
    <row r="90" spans="1:28" x14ac:dyDescent="0.3">
      <c r="A90" s="1">
        <v>44947.583333333336</v>
      </c>
      <c r="B90">
        <v>128</v>
      </c>
      <c r="C90">
        <v>12.99</v>
      </c>
      <c r="D90">
        <v>776</v>
      </c>
      <c r="E90">
        <v>846</v>
      </c>
      <c r="F90">
        <v>120.2</v>
      </c>
      <c r="G90">
        <v>925</v>
      </c>
      <c r="I90">
        <v>9.2200000000000006</v>
      </c>
      <c r="J90">
        <f t="shared" si="2"/>
        <v>0.23050000000000001</v>
      </c>
      <c r="K90">
        <f t="shared" si="3"/>
        <v>9.2200000000000006</v>
      </c>
      <c r="N90">
        <v>27.46</v>
      </c>
      <c r="O90">
        <v>27.89</v>
      </c>
      <c r="P90">
        <v>27.04</v>
      </c>
      <c r="Q90">
        <v>0.24</v>
      </c>
      <c r="R90">
        <v>38.14</v>
      </c>
      <c r="S90">
        <v>39.04</v>
      </c>
      <c r="T90">
        <v>37.03</v>
      </c>
      <c r="U90">
        <v>0.47399999999999998</v>
      </c>
      <c r="V90">
        <v>1.829</v>
      </c>
      <c r="W90">
        <v>4.7</v>
      </c>
      <c r="X90">
        <v>0</v>
      </c>
      <c r="Y90">
        <v>0.996</v>
      </c>
      <c r="Z90">
        <v>2.8780000000000001</v>
      </c>
      <c r="AA90">
        <v>874.95330000000001</v>
      </c>
      <c r="AB90">
        <v>0</v>
      </c>
    </row>
    <row r="91" spans="1:28" x14ac:dyDescent="0.3">
      <c r="A91" s="1">
        <v>44947.590277777781</v>
      </c>
      <c r="B91">
        <v>129</v>
      </c>
      <c r="C91">
        <v>12.98</v>
      </c>
      <c r="D91">
        <v>775.9</v>
      </c>
      <c r="E91">
        <v>868</v>
      </c>
      <c r="F91">
        <v>114.2</v>
      </c>
      <c r="G91">
        <v>927</v>
      </c>
      <c r="I91">
        <v>9.27</v>
      </c>
      <c r="J91">
        <f t="shared" si="2"/>
        <v>0.23174999999999998</v>
      </c>
      <c r="K91">
        <f t="shared" si="3"/>
        <v>9.27</v>
      </c>
      <c r="N91">
        <v>27.53</v>
      </c>
      <c r="O91">
        <v>27.86</v>
      </c>
      <c r="P91">
        <v>27.04</v>
      </c>
      <c r="Q91">
        <v>0.20599999999999999</v>
      </c>
      <c r="R91">
        <v>37.75</v>
      </c>
      <c r="S91">
        <v>38.630000000000003</v>
      </c>
      <c r="T91">
        <v>36.18</v>
      </c>
      <c r="U91">
        <v>0.61</v>
      </c>
      <c r="V91">
        <v>3.375</v>
      </c>
      <c r="W91">
        <v>6.95</v>
      </c>
      <c r="X91">
        <v>0</v>
      </c>
      <c r="Y91">
        <v>1.3480000000000001</v>
      </c>
      <c r="Z91">
        <v>2.8780000000000001</v>
      </c>
      <c r="AA91">
        <v>874.73919999999998</v>
      </c>
      <c r="AB91">
        <v>0</v>
      </c>
    </row>
    <row r="92" spans="1:28" x14ac:dyDescent="0.3">
      <c r="A92" s="1">
        <v>44947.597222222219</v>
      </c>
      <c r="B92">
        <v>130</v>
      </c>
      <c r="C92">
        <v>12.94</v>
      </c>
      <c r="D92">
        <v>651.5</v>
      </c>
      <c r="E92">
        <v>707.6</v>
      </c>
      <c r="F92">
        <v>111.8</v>
      </c>
      <c r="G92">
        <v>783.1</v>
      </c>
      <c r="I92">
        <v>8.68</v>
      </c>
      <c r="J92">
        <f t="shared" si="2"/>
        <v>0.217</v>
      </c>
      <c r="K92">
        <f t="shared" si="3"/>
        <v>8.68</v>
      </c>
      <c r="N92">
        <v>27.3</v>
      </c>
      <c r="O92">
        <v>27.72</v>
      </c>
      <c r="P92">
        <v>26.91</v>
      </c>
      <c r="Q92">
        <v>0.215</v>
      </c>
      <c r="R92">
        <v>38</v>
      </c>
      <c r="S92">
        <v>38.94</v>
      </c>
      <c r="T92">
        <v>36.479999999999997</v>
      </c>
      <c r="U92">
        <v>0.57399999999999995</v>
      </c>
      <c r="V92">
        <v>2.6269999999999998</v>
      </c>
      <c r="W92">
        <v>6.2</v>
      </c>
      <c r="X92">
        <v>0</v>
      </c>
      <c r="Y92">
        <v>1.012</v>
      </c>
      <c r="Z92">
        <v>2.8780000000000001</v>
      </c>
      <c r="AA92">
        <v>874.58389999999997</v>
      </c>
      <c r="AB92">
        <v>0</v>
      </c>
    </row>
    <row r="93" spans="1:28" x14ac:dyDescent="0.3">
      <c r="A93" s="1">
        <v>44947.604166666664</v>
      </c>
      <c r="B93">
        <v>131</v>
      </c>
      <c r="C93">
        <v>12.97</v>
      </c>
      <c r="D93">
        <v>740.5</v>
      </c>
      <c r="E93">
        <v>862</v>
      </c>
      <c r="F93">
        <v>110.1</v>
      </c>
      <c r="G93">
        <v>893</v>
      </c>
      <c r="I93">
        <v>8.7899999999999991</v>
      </c>
      <c r="J93">
        <f t="shared" si="2"/>
        <v>0.21974999999999997</v>
      </c>
      <c r="K93">
        <f t="shared" si="3"/>
        <v>8.7899999999999991</v>
      </c>
      <c r="N93">
        <v>28.01</v>
      </c>
      <c r="O93">
        <v>28.37</v>
      </c>
      <c r="P93">
        <v>27.52</v>
      </c>
      <c r="Q93">
        <v>0.221</v>
      </c>
      <c r="R93">
        <v>36.31</v>
      </c>
      <c r="S93">
        <v>37.44</v>
      </c>
      <c r="T93">
        <v>35.020000000000003</v>
      </c>
      <c r="U93">
        <v>0.56299999999999994</v>
      </c>
      <c r="V93">
        <v>2.6070000000000002</v>
      </c>
      <c r="W93">
        <v>6.2</v>
      </c>
      <c r="X93">
        <v>0</v>
      </c>
      <c r="Y93">
        <v>1.5009999999999999</v>
      </c>
      <c r="Z93">
        <v>2.9510000000000001</v>
      </c>
      <c r="AA93">
        <v>874.37429999999995</v>
      </c>
      <c r="AB93">
        <v>0</v>
      </c>
    </row>
    <row r="94" spans="1:28" x14ac:dyDescent="0.3">
      <c r="A94" s="1">
        <v>44947.611111111109</v>
      </c>
      <c r="B94">
        <v>132</v>
      </c>
      <c r="C94">
        <v>12.95</v>
      </c>
      <c r="D94">
        <v>688</v>
      </c>
      <c r="E94">
        <v>818</v>
      </c>
      <c r="F94">
        <v>102.2</v>
      </c>
      <c r="G94">
        <v>831</v>
      </c>
      <c r="I94">
        <v>8.41</v>
      </c>
      <c r="J94">
        <f t="shared" si="2"/>
        <v>0.21024999999999999</v>
      </c>
      <c r="K94">
        <f t="shared" si="3"/>
        <v>8.41</v>
      </c>
      <c r="N94">
        <v>28.45</v>
      </c>
      <c r="O94">
        <v>28.81</v>
      </c>
      <c r="P94">
        <v>28</v>
      </c>
      <c r="Q94">
        <v>0.188</v>
      </c>
      <c r="R94">
        <v>34.700000000000003</v>
      </c>
      <c r="S94">
        <v>35.97</v>
      </c>
      <c r="T94">
        <v>32.840000000000003</v>
      </c>
      <c r="U94">
        <v>0.73899999999999999</v>
      </c>
      <c r="V94">
        <v>2.5179999999999998</v>
      </c>
      <c r="W94">
        <v>6.2</v>
      </c>
      <c r="X94">
        <v>0</v>
      </c>
      <c r="Y94">
        <v>1.4419999999999999</v>
      </c>
      <c r="Z94">
        <v>2.9510000000000001</v>
      </c>
      <c r="AA94">
        <v>874.24760000000003</v>
      </c>
      <c r="AB94">
        <v>0</v>
      </c>
    </row>
    <row r="95" spans="1:28" x14ac:dyDescent="0.3">
      <c r="A95" s="1">
        <v>44947.618055555555</v>
      </c>
      <c r="B95">
        <v>133</v>
      </c>
      <c r="C95">
        <v>12.95</v>
      </c>
      <c r="D95">
        <v>694.1</v>
      </c>
      <c r="E95">
        <v>859</v>
      </c>
      <c r="F95">
        <v>100.1</v>
      </c>
      <c r="G95">
        <v>843</v>
      </c>
      <c r="I95">
        <v>8.24</v>
      </c>
      <c r="J95">
        <f t="shared" si="2"/>
        <v>0.20599999999999999</v>
      </c>
      <c r="K95">
        <f t="shared" si="3"/>
        <v>8.24</v>
      </c>
      <c r="N95">
        <v>27.81</v>
      </c>
      <c r="O95">
        <v>28.34</v>
      </c>
      <c r="P95">
        <v>27.18</v>
      </c>
      <c r="Q95">
        <v>0.35399999999999998</v>
      </c>
      <c r="R95">
        <v>34.36</v>
      </c>
      <c r="S95">
        <v>35.840000000000003</v>
      </c>
      <c r="T95">
        <v>32.979999999999997</v>
      </c>
      <c r="U95">
        <v>0.71399999999999997</v>
      </c>
      <c r="V95">
        <v>3.306</v>
      </c>
      <c r="W95">
        <v>8.4499999999999993</v>
      </c>
      <c r="X95">
        <v>0.95</v>
      </c>
      <c r="Y95">
        <v>1.399</v>
      </c>
      <c r="Z95">
        <v>2.9510000000000001</v>
      </c>
      <c r="AA95">
        <v>874.12350000000004</v>
      </c>
      <c r="AB95">
        <v>0</v>
      </c>
    </row>
    <row r="96" spans="1:28" x14ac:dyDescent="0.3">
      <c r="A96" s="1">
        <v>44947.625</v>
      </c>
      <c r="B96">
        <v>134</v>
      </c>
      <c r="C96">
        <v>12.95</v>
      </c>
      <c r="D96">
        <v>666.5</v>
      </c>
      <c r="E96">
        <v>850</v>
      </c>
      <c r="F96">
        <v>97.1</v>
      </c>
      <c r="G96">
        <v>815</v>
      </c>
      <c r="I96">
        <v>7.9269999999999996</v>
      </c>
      <c r="J96">
        <f t="shared" si="2"/>
        <v>0.19817499999999999</v>
      </c>
      <c r="K96">
        <f t="shared" si="3"/>
        <v>7.9269999999999996</v>
      </c>
      <c r="N96">
        <v>27.58</v>
      </c>
      <c r="O96">
        <v>28.37</v>
      </c>
      <c r="P96">
        <v>26.8</v>
      </c>
      <c r="Q96">
        <v>0.45400000000000001</v>
      </c>
      <c r="R96">
        <v>34.57</v>
      </c>
      <c r="S96">
        <v>36.01</v>
      </c>
      <c r="T96">
        <v>33.450000000000003</v>
      </c>
      <c r="U96">
        <v>0.75700000000000001</v>
      </c>
      <c r="V96">
        <v>2.5859999999999999</v>
      </c>
      <c r="W96">
        <v>6.95</v>
      </c>
      <c r="X96">
        <v>0</v>
      </c>
      <c r="Y96">
        <v>1.5920000000000001</v>
      </c>
      <c r="Z96">
        <v>2.8540000000000001</v>
      </c>
      <c r="AA96">
        <v>874.01729999999998</v>
      </c>
      <c r="AB96">
        <v>0</v>
      </c>
    </row>
    <row r="97" spans="1:28" x14ac:dyDescent="0.3">
      <c r="A97" s="1">
        <v>44947.631944444445</v>
      </c>
      <c r="B97">
        <v>135</v>
      </c>
      <c r="C97">
        <v>12.98</v>
      </c>
      <c r="D97">
        <v>639.29999999999995</v>
      </c>
      <c r="E97">
        <v>843</v>
      </c>
      <c r="F97">
        <v>95.8</v>
      </c>
      <c r="G97">
        <v>787.7</v>
      </c>
      <c r="I97">
        <v>7.6059999999999999</v>
      </c>
      <c r="J97">
        <f t="shared" si="2"/>
        <v>0.19015000000000001</v>
      </c>
      <c r="K97">
        <f t="shared" si="3"/>
        <v>7.6060000000000008</v>
      </c>
      <c r="N97">
        <v>28.74</v>
      </c>
      <c r="O97">
        <v>29.05</v>
      </c>
      <c r="P97">
        <v>28.23</v>
      </c>
      <c r="Q97">
        <v>0.189</v>
      </c>
      <c r="R97">
        <v>32.65</v>
      </c>
      <c r="S97">
        <v>33.79</v>
      </c>
      <c r="T97">
        <v>31.78</v>
      </c>
      <c r="U97">
        <v>0.315</v>
      </c>
      <c r="V97">
        <v>2.76</v>
      </c>
      <c r="W97">
        <v>6.2</v>
      </c>
      <c r="X97">
        <v>0</v>
      </c>
      <c r="Y97">
        <v>1.278</v>
      </c>
      <c r="Z97">
        <v>3.0230000000000001</v>
      </c>
      <c r="AA97">
        <v>873.90260000000001</v>
      </c>
      <c r="AB97">
        <v>0</v>
      </c>
    </row>
    <row r="98" spans="1:28" x14ac:dyDescent="0.3">
      <c r="A98" s="1">
        <v>44947.638888888891</v>
      </c>
      <c r="B98">
        <v>136</v>
      </c>
      <c r="C98">
        <v>12.97</v>
      </c>
      <c r="D98">
        <v>608.6</v>
      </c>
      <c r="E98">
        <v>821</v>
      </c>
      <c r="F98">
        <v>96</v>
      </c>
      <c r="G98">
        <v>753</v>
      </c>
      <c r="I98">
        <v>7.2409999999999997</v>
      </c>
      <c r="J98">
        <f t="shared" si="2"/>
        <v>0.18102499999999996</v>
      </c>
      <c r="K98">
        <f t="shared" si="3"/>
        <v>7.2409999999999988</v>
      </c>
      <c r="N98">
        <v>27.68</v>
      </c>
      <c r="O98">
        <v>28.44</v>
      </c>
      <c r="P98">
        <v>27.11</v>
      </c>
      <c r="Q98">
        <v>0.28599999999999998</v>
      </c>
      <c r="R98">
        <v>34.409999999999997</v>
      </c>
      <c r="S98">
        <v>35.46</v>
      </c>
      <c r="T98">
        <v>33.28</v>
      </c>
      <c r="U98">
        <v>0.52900000000000003</v>
      </c>
      <c r="V98">
        <v>3.3809999999999998</v>
      </c>
      <c r="W98">
        <v>6.95</v>
      </c>
      <c r="X98">
        <v>0.95</v>
      </c>
      <c r="Y98">
        <v>1.167</v>
      </c>
      <c r="Z98">
        <v>2.9510000000000001</v>
      </c>
      <c r="AA98">
        <v>873.74760000000003</v>
      </c>
      <c r="AB98">
        <v>0</v>
      </c>
    </row>
    <row r="99" spans="1:28" x14ac:dyDescent="0.3">
      <c r="A99" s="1">
        <v>44947.645833333336</v>
      </c>
      <c r="B99">
        <v>137</v>
      </c>
      <c r="C99">
        <v>12.97</v>
      </c>
      <c r="D99">
        <v>575.20000000000005</v>
      </c>
      <c r="E99">
        <v>807</v>
      </c>
      <c r="F99">
        <v>94.2</v>
      </c>
      <c r="G99">
        <v>717.1</v>
      </c>
      <c r="I99">
        <v>6.9050000000000002</v>
      </c>
      <c r="J99">
        <f t="shared" si="2"/>
        <v>0.172625</v>
      </c>
      <c r="K99">
        <f t="shared" si="3"/>
        <v>6.9050000000000002</v>
      </c>
      <c r="N99">
        <v>28.35</v>
      </c>
      <c r="O99">
        <v>28.95</v>
      </c>
      <c r="P99">
        <v>27.31</v>
      </c>
      <c r="Q99">
        <v>0.36799999999999999</v>
      </c>
      <c r="R99">
        <v>33.5</v>
      </c>
      <c r="S99">
        <v>34.99</v>
      </c>
      <c r="T99">
        <v>32.33</v>
      </c>
      <c r="U99">
        <v>0.6</v>
      </c>
      <c r="V99">
        <v>1.806</v>
      </c>
      <c r="W99">
        <v>3.95</v>
      </c>
      <c r="X99">
        <v>0</v>
      </c>
      <c r="Y99">
        <v>0.83299999999999996</v>
      </c>
      <c r="Z99">
        <v>2.927</v>
      </c>
      <c r="AA99">
        <v>873.63319999999999</v>
      </c>
      <c r="AB99">
        <v>0</v>
      </c>
    </row>
    <row r="100" spans="1:28" x14ac:dyDescent="0.3">
      <c r="A100" s="1">
        <v>44947.652777777781</v>
      </c>
      <c r="B100">
        <v>138</v>
      </c>
      <c r="C100">
        <v>12.94</v>
      </c>
      <c r="D100">
        <v>542.20000000000005</v>
      </c>
      <c r="E100">
        <v>796.2</v>
      </c>
      <c r="F100">
        <v>90.4</v>
      </c>
      <c r="G100">
        <v>679.8</v>
      </c>
      <c r="I100">
        <v>6.5970000000000004</v>
      </c>
      <c r="J100">
        <f t="shared" si="2"/>
        <v>0.16492500000000002</v>
      </c>
      <c r="K100">
        <f t="shared" si="3"/>
        <v>6.5970000000000004</v>
      </c>
      <c r="N100">
        <v>29.06</v>
      </c>
      <c r="O100">
        <v>29.49</v>
      </c>
      <c r="P100">
        <v>28.54</v>
      </c>
      <c r="Q100">
        <v>0.254</v>
      </c>
      <c r="R100">
        <v>32.43</v>
      </c>
      <c r="S100">
        <v>33.21</v>
      </c>
      <c r="T100">
        <v>31.61</v>
      </c>
      <c r="U100">
        <v>0.41099999999999998</v>
      </c>
      <c r="V100">
        <v>1.6970000000000001</v>
      </c>
      <c r="W100">
        <v>6.2</v>
      </c>
      <c r="X100">
        <v>0</v>
      </c>
      <c r="Y100">
        <v>1.2410000000000001</v>
      </c>
      <c r="Z100">
        <v>2.9750000000000001</v>
      </c>
      <c r="AA100">
        <v>873.53489999999999</v>
      </c>
      <c r="AB100">
        <v>0</v>
      </c>
    </row>
    <row r="101" spans="1:28" x14ac:dyDescent="0.3">
      <c r="A101" s="1">
        <v>44947.659722222219</v>
      </c>
      <c r="B101">
        <v>139</v>
      </c>
      <c r="C101">
        <v>12.95</v>
      </c>
      <c r="D101">
        <v>507.3</v>
      </c>
      <c r="E101">
        <v>769.3</v>
      </c>
      <c r="F101">
        <v>89.6</v>
      </c>
      <c r="G101">
        <v>640.29999999999995</v>
      </c>
      <c r="I101">
        <v>6.2530000000000001</v>
      </c>
      <c r="J101">
        <f t="shared" si="2"/>
        <v>0.15632499999999999</v>
      </c>
      <c r="K101">
        <f t="shared" si="3"/>
        <v>6.2530000000000001</v>
      </c>
      <c r="N101">
        <v>28.99</v>
      </c>
      <c r="O101">
        <v>29.32</v>
      </c>
      <c r="P101">
        <v>28.68</v>
      </c>
      <c r="Q101">
        <v>0.14799999999999999</v>
      </c>
      <c r="R101">
        <v>32.85</v>
      </c>
      <c r="S101">
        <v>33.450000000000003</v>
      </c>
      <c r="T101">
        <v>31.82</v>
      </c>
      <c r="U101">
        <v>0.33800000000000002</v>
      </c>
      <c r="V101">
        <v>2.65</v>
      </c>
      <c r="W101">
        <v>6.2</v>
      </c>
      <c r="X101">
        <v>0</v>
      </c>
      <c r="Y101">
        <v>1.343</v>
      </c>
      <c r="Z101">
        <v>2.927</v>
      </c>
      <c r="AA101">
        <v>873.44510000000002</v>
      </c>
      <c r="AB101">
        <v>0</v>
      </c>
    </row>
    <row r="102" spans="1:28" x14ac:dyDescent="0.3">
      <c r="A102" s="1">
        <v>44947.666666666664</v>
      </c>
      <c r="B102">
        <v>140</v>
      </c>
      <c r="C102">
        <v>12.95</v>
      </c>
      <c r="D102">
        <v>470.2</v>
      </c>
      <c r="E102">
        <v>739</v>
      </c>
      <c r="F102">
        <v>88.8</v>
      </c>
      <c r="G102">
        <v>597.20000000000005</v>
      </c>
      <c r="I102">
        <v>5.9509999999999996</v>
      </c>
      <c r="J102">
        <f t="shared" si="2"/>
        <v>0.14877499999999999</v>
      </c>
      <c r="K102">
        <f t="shared" si="3"/>
        <v>5.9509999999999996</v>
      </c>
      <c r="N102">
        <v>28.42</v>
      </c>
      <c r="O102">
        <v>29.02</v>
      </c>
      <c r="P102">
        <v>28.03</v>
      </c>
      <c r="Q102">
        <v>0.26100000000000001</v>
      </c>
      <c r="R102">
        <v>34.03</v>
      </c>
      <c r="S102">
        <v>35.53</v>
      </c>
      <c r="T102">
        <v>33.25</v>
      </c>
      <c r="U102">
        <v>0.42299999999999999</v>
      </c>
      <c r="V102">
        <v>4.1539999999999999</v>
      </c>
      <c r="W102">
        <v>6.95</v>
      </c>
      <c r="X102">
        <v>0.95</v>
      </c>
      <c r="Y102">
        <v>1.381</v>
      </c>
      <c r="Z102">
        <v>2.9990000000000001</v>
      </c>
      <c r="AA102">
        <v>873.38419999999996</v>
      </c>
      <c r="AB102">
        <v>0</v>
      </c>
    </row>
    <row r="103" spans="1:28" x14ac:dyDescent="0.3">
      <c r="A103" s="1">
        <v>44947.673611111109</v>
      </c>
      <c r="B103">
        <v>141</v>
      </c>
      <c r="C103">
        <v>12.94</v>
      </c>
      <c r="D103">
        <v>442.3</v>
      </c>
      <c r="E103">
        <v>729.7</v>
      </c>
      <c r="F103">
        <v>88</v>
      </c>
      <c r="G103">
        <v>567.20000000000005</v>
      </c>
      <c r="I103">
        <v>5.7050000000000001</v>
      </c>
      <c r="J103">
        <f t="shared" si="2"/>
        <v>0.142625</v>
      </c>
      <c r="K103">
        <f t="shared" si="3"/>
        <v>5.7050000000000001</v>
      </c>
      <c r="N103">
        <v>28.32</v>
      </c>
      <c r="O103">
        <v>28.75</v>
      </c>
      <c r="P103">
        <v>28.03</v>
      </c>
      <c r="Q103">
        <v>0.17399999999999999</v>
      </c>
      <c r="R103">
        <v>34.1</v>
      </c>
      <c r="S103">
        <v>35.159999999999997</v>
      </c>
      <c r="T103">
        <v>32.74</v>
      </c>
      <c r="U103">
        <v>0.55800000000000005</v>
      </c>
      <c r="V103">
        <v>3.9279999999999999</v>
      </c>
      <c r="W103">
        <v>7.7</v>
      </c>
      <c r="X103">
        <v>0</v>
      </c>
      <c r="Y103">
        <v>1.29</v>
      </c>
      <c r="Z103">
        <v>2.9510000000000001</v>
      </c>
      <c r="AA103">
        <v>873.35990000000004</v>
      </c>
      <c r="AB103">
        <v>0</v>
      </c>
    </row>
    <row r="104" spans="1:28" x14ac:dyDescent="0.3">
      <c r="A104" s="1">
        <v>44947.680555555555</v>
      </c>
      <c r="B104">
        <v>142</v>
      </c>
      <c r="C104">
        <v>12.94</v>
      </c>
      <c r="D104">
        <v>404.1</v>
      </c>
      <c r="E104">
        <v>707.9</v>
      </c>
      <c r="F104">
        <v>84.4</v>
      </c>
      <c r="G104">
        <v>522.9</v>
      </c>
      <c r="I104">
        <v>5.452</v>
      </c>
      <c r="J104">
        <f t="shared" si="2"/>
        <v>0.13629999999999998</v>
      </c>
      <c r="K104">
        <f t="shared" si="3"/>
        <v>5.4519999999999991</v>
      </c>
      <c r="N104">
        <v>28.98</v>
      </c>
      <c r="O104">
        <v>29.36</v>
      </c>
      <c r="P104">
        <v>28.44</v>
      </c>
      <c r="Q104">
        <v>0.23699999999999999</v>
      </c>
      <c r="R104">
        <v>33.04</v>
      </c>
      <c r="S104">
        <v>33.79</v>
      </c>
      <c r="T104">
        <v>31.89</v>
      </c>
      <c r="U104">
        <v>0.40799999999999997</v>
      </c>
      <c r="V104">
        <v>2.0459999999999998</v>
      </c>
      <c r="W104">
        <v>4.7</v>
      </c>
      <c r="X104">
        <v>0</v>
      </c>
      <c r="Y104">
        <v>0.98</v>
      </c>
      <c r="Z104">
        <v>2.927</v>
      </c>
      <c r="AA104">
        <v>873.30899999999997</v>
      </c>
      <c r="AB104">
        <v>0</v>
      </c>
    </row>
    <row r="105" spans="1:28" x14ac:dyDescent="0.3">
      <c r="A105" s="1">
        <v>44947.6875</v>
      </c>
      <c r="B105">
        <v>143</v>
      </c>
      <c r="C105">
        <v>12.94</v>
      </c>
      <c r="D105">
        <v>371.2</v>
      </c>
      <c r="E105">
        <v>692.3</v>
      </c>
      <c r="F105">
        <v>80.5</v>
      </c>
      <c r="G105">
        <v>485.1</v>
      </c>
      <c r="I105">
        <v>5.2320000000000002</v>
      </c>
      <c r="J105">
        <f t="shared" si="2"/>
        <v>0.1308</v>
      </c>
      <c r="K105">
        <f t="shared" si="3"/>
        <v>5.2320000000000002</v>
      </c>
      <c r="N105">
        <v>29.1</v>
      </c>
      <c r="O105">
        <v>29.46</v>
      </c>
      <c r="P105">
        <v>28.78</v>
      </c>
      <c r="Q105">
        <v>0.13600000000000001</v>
      </c>
      <c r="R105">
        <v>32.880000000000003</v>
      </c>
      <c r="S105">
        <v>33.96</v>
      </c>
      <c r="T105">
        <v>31.65</v>
      </c>
      <c r="U105">
        <v>0.502</v>
      </c>
      <c r="V105">
        <v>2.403</v>
      </c>
      <c r="W105">
        <v>5.45</v>
      </c>
      <c r="X105">
        <v>0</v>
      </c>
      <c r="Y105">
        <v>1.298</v>
      </c>
      <c r="Z105">
        <v>2.9020000000000001</v>
      </c>
      <c r="AA105">
        <v>873.30799999999999</v>
      </c>
      <c r="AB105">
        <v>0</v>
      </c>
    </row>
    <row r="106" spans="1:28" x14ac:dyDescent="0.3">
      <c r="A106" s="1">
        <v>44947.694444444445</v>
      </c>
      <c r="B106">
        <v>144</v>
      </c>
      <c r="C106">
        <v>12.93</v>
      </c>
      <c r="D106">
        <v>333.9</v>
      </c>
      <c r="E106">
        <v>660.6</v>
      </c>
      <c r="F106">
        <v>76.709999999999994</v>
      </c>
      <c r="G106">
        <v>441.3</v>
      </c>
      <c r="I106">
        <v>5.0170000000000003</v>
      </c>
      <c r="J106">
        <f t="shared" si="2"/>
        <v>0.12542500000000001</v>
      </c>
      <c r="K106">
        <f t="shared" si="3"/>
        <v>5.0170000000000003</v>
      </c>
      <c r="N106">
        <v>28.43</v>
      </c>
      <c r="O106">
        <v>29.12</v>
      </c>
      <c r="P106">
        <v>27.55</v>
      </c>
      <c r="Q106">
        <v>0.48899999999999999</v>
      </c>
      <c r="R106">
        <v>33.590000000000003</v>
      </c>
      <c r="S106">
        <v>35.049999999999997</v>
      </c>
      <c r="T106">
        <v>32.57</v>
      </c>
      <c r="U106">
        <v>0.63400000000000001</v>
      </c>
      <c r="V106">
        <v>3.7349999999999999</v>
      </c>
      <c r="W106">
        <v>6.95</v>
      </c>
      <c r="X106">
        <v>0.95</v>
      </c>
      <c r="Y106">
        <v>1.04</v>
      </c>
      <c r="Z106">
        <v>2.927</v>
      </c>
      <c r="AA106">
        <v>873.27359999999999</v>
      </c>
      <c r="AB106">
        <v>0</v>
      </c>
    </row>
    <row r="107" spans="1:28" x14ac:dyDescent="0.3">
      <c r="A107" s="1">
        <v>44947.701388888891</v>
      </c>
      <c r="B107">
        <v>145</v>
      </c>
      <c r="C107">
        <v>12.94</v>
      </c>
      <c r="D107">
        <v>294.5</v>
      </c>
      <c r="E107">
        <v>635.20000000000005</v>
      </c>
      <c r="F107">
        <v>70.8</v>
      </c>
      <c r="G107">
        <v>396.4</v>
      </c>
      <c r="I107">
        <v>4.8259999999999996</v>
      </c>
      <c r="J107">
        <f t="shared" si="2"/>
        <v>0.12064999999999999</v>
      </c>
      <c r="K107">
        <f t="shared" si="3"/>
        <v>4.8259999999999996</v>
      </c>
      <c r="N107">
        <v>28.23</v>
      </c>
      <c r="O107">
        <v>29.29</v>
      </c>
      <c r="P107">
        <v>27.62</v>
      </c>
      <c r="Q107">
        <v>0.53100000000000003</v>
      </c>
      <c r="R107">
        <v>33.520000000000003</v>
      </c>
      <c r="S107">
        <v>34.54</v>
      </c>
      <c r="T107">
        <v>31.68</v>
      </c>
      <c r="U107">
        <v>0.81399999999999995</v>
      </c>
      <c r="V107">
        <v>1.633</v>
      </c>
      <c r="W107">
        <v>3.95</v>
      </c>
      <c r="X107">
        <v>0</v>
      </c>
      <c r="Y107">
        <v>0.90200000000000002</v>
      </c>
      <c r="Z107">
        <v>2.9750000000000001</v>
      </c>
      <c r="AA107">
        <v>873.25160000000005</v>
      </c>
      <c r="AB107">
        <v>0</v>
      </c>
    </row>
    <row r="108" spans="1:28" x14ac:dyDescent="0.3">
      <c r="A108" s="1">
        <v>44947.708333333336</v>
      </c>
      <c r="B108">
        <v>146</v>
      </c>
      <c r="C108">
        <v>12.95</v>
      </c>
      <c r="D108">
        <v>254.5</v>
      </c>
      <c r="E108">
        <v>595.79999999999995</v>
      </c>
      <c r="F108">
        <v>66.290000000000006</v>
      </c>
      <c r="G108">
        <v>348.8</v>
      </c>
      <c r="I108">
        <v>4.6479999999999997</v>
      </c>
      <c r="J108">
        <f t="shared" si="2"/>
        <v>0.11619999999999998</v>
      </c>
      <c r="K108">
        <f t="shared" si="3"/>
        <v>4.6479999999999997</v>
      </c>
      <c r="N108">
        <v>29.1</v>
      </c>
      <c r="O108">
        <v>29.39</v>
      </c>
      <c r="P108">
        <v>28.47</v>
      </c>
      <c r="Q108">
        <v>0.20200000000000001</v>
      </c>
      <c r="R108">
        <v>32.29</v>
      </c>
      <c r="S108">
        <v>33.9</v>
      </c>
      <c r="T108">
        <v>31.51</v>
      </c>
      <c r="U108">
        <v>0.48599999999999999</v>
      </c>
      <c r="V108">
        <v>1.9730000000000001</v>
      </c>
      <c r="W108">
        <v>4.7</v>
      </c>
      <c r="X108">
        <v>0</v>
      </c>
      <c r="Y108">
        <v>1.042</v>
      </c>
      <c r="Z108">
        <v>2.8540000000000001</v>
      </c>
      <c r="AA108">
        <v>873.14380000000006</v>
      </c>
      <c r="AB108">
        <v>0</v>
      </c>
    </row>
    <row r="109" spans="1:28" x14ac:dyDescent="0.3">
      <c r="A109" s="1">
        <v>44947.715277777781</v>
      </c>
      <c r="B109">
        <v>147</v>
      </c>
      <c r="C109">
        <v>12.85</v>
      </c>
      <c r="D109">
        <v>219</v>
      </c>
      <c r="E109">
        <v>555.29999999999995</v>
      </c>
      <c r="F109">
        <v>62.38</v>
      </c>
      <c r="G109">
        <v>305.89999999999998</v>
      </c>
      <c r="I109">
        <v>4.4930000000000003</v>
      </c>
      <c r="J109">
        <f t="shared" si="2"/>
        <v>0.11232500000000001</v>
      </c>
      <c r="K109">
        <f t="shared" si="3"/>
        <v>4.4930000000000003</v>
      </c>
      <c r="N109">
        <v>28.39</v>
      </c>
      <c r="O109">
        <v>28.64</v>
      </c>
      <c r="P109">
        <v>28.1</v>
      </c>
      <c r="Q109">
        <v>0.109</v>
      </c>
      <c r="R109">
        <v>33.68</v>
      </c>
      <c r="S109">
        <v>34.31</v>
      </c>
      <c r="T109">
        <v>33.25</v>
      </c>
      <c r="U109">
        <v>0.23899999999999999</v>
      </c>
      <c r="V109">
        <v>2.617</v>
      </c>
      <c r="W109">
        <v>5.45</v>
      </c>
      <c r="X109">
        <v>0</v>
      </c>
      <c r="Y109">
        <v>0.93</v>
      </c>
      <c r="Z109">
        <v>2.8540000000000001</v>
      </c>
      <c r="AA109">
        <v>873.14890000000003</v>
      </c>
      <c r="AB109">
        <v>0</v>
      </c>
    </row>
    <row r="110" spans="1:28" x14ac:dyDescent="0.3">
      <c r="A110" s="1">
        <v>44947.722222222219</v>
      </c>
      <c r="B110">
        <v>148</v>
      </c>
      <c r="C110">
        <v>12.8</v>
      </c>
      <c r="D110">
        <v>182.3</v>
      </c>
      <c r="E110">
        <v>509.6</v>
      </c>
      <c r="F110">
        <v>56.66</v>
      </c>
      <c r="G110">
        <v>260.7</v>
      </c>
      <c r="I110">
        <v>4.3680000000000003</v>
      </c>
      <c r="J110">
        <f t="shared" si="2"/>
        <v>0.10920000000000001</v>
      </c>
      <c r="K110">
        <f t="shared" si="3"/>
        <v>4.3680000000000003</v>
      </c>
      <c r="N110">
        <v>28.51</v>
      </c>
      <c r="O110">
        <v>28.95</v>
      </c>
      <c r="P110">
        <v>27.96</v>
      </c>
      <c r="Q110">
        <v>0.27300000000000002</v>
      </c>
      <c r="R110">
        <v>33.270000000000003</v>
      </c>
      <c r="S110">
        <v>34</v>
      </c>
      <c r="T110">
        <v>32.6</v>
      </c>
      <c r="U110">
        <v>0.29899999999999999</v>
      </c>
      <c r="V110">
        <v>2.67</v>
      </c>
      <c r="W110">
        <v>6.2</v>
      </c>
      <c r="X110">
        <v>0</v>
      </c>
      <c r="Y110">
        <v>1.361</v>
      </c>
      <c r="Z110">
        <v>2.9020000000000001</v>
      </c>
      <c r="AA110">
        <v>873.12459999999999</v>
      </c>
      <c r="AB110">
        <v>0</v>
      </c>
    </row>
    <row r="111" spans="1:28" x14ac:dyDescent="0.3">
      <c r="A111" s="1">
        <v>44947.729166666664</v>
      </c>
      <c r="B111">
        <v>149</v>
      </c>
      <c r="C111">
        <v>12.76</v>
      </c>
      <c r="D111">
        <v>145.9</v>
      </c>
      <c r="E111">
        <v>450.5</v>
      </c>
      <c r="F111">
        <v>50.65</v>
      </c>
      <c r="G111">
        <v>214.3</v>
      </c>
      <c r="I111">
        <v>4.2679999999999998</v>
      </c>
      <c r="J111">
        <f t="shared" si="2"/>
        <v>0.10669999999999999</v>
      </c>
      <c r="K111">
        <f t="shared" si="3"/>
        <v>4.2679999999999998</v>
      </c>
      <c r="N111">
        <v>27.93</v>
      </c>
      <c r="O111">
        <v>28.24</v>
      </c>
      <c r="P111">
        <v>27.59</v>
      </c>
      <c r="Q111">
        <v>0.16</v>
      </c>
      <c r="R111">
        <v>33.700000000000003</v>
      </c>
      <c r="S111">
        <v>34.24</v>
      </c>
      <c r="T111">
        <v>33.11</v>
      </c>
      <c r="U111">
        <v>0.22700000000000001</v>
      </c>
      <c r="V111">
        <v>3.6280000000000001</v>
      </c>
      <c r="W111">
        <v>6.2</v>
      </c>
      <c r="X111">
        <v>0.95</v>
      </c>
      <c r="Y111">
        <v>0.81100000000000005</v>
      </c>
      <c r="Z111">
        <v>2.806</v>
      </c>
      <c r="AA111">
        <v>873.0992</v>
      </c>
      <c r="AB111">
        <v>0</v>
      </c>
    </row>
    <row r="112" spans="1:28" x14ac:dyDescent="0.3">
      <c r="A112" s="1">
        <v>44947.736111111109</v>
      </c>
      <c r="B112">
        <v>150</v>
      </c>
      <c r="C112">
        <v>12.72</v>
      </c>
      <c r="D112">
        <v>103.4</v>
      </c>
      <c r="E112">
        <v>371.7</v>
      </c>
      <c r="F112">
        <v>42.66</v>
      </c>
      <c r="G112">
        <v>163.19999999999999</v>
      </c>
      <c r="I112">
        <v>4.1859999999999999</v>
      </c>
      <c r="J112">
        <f t="shared" si="2"/>
        <v>0.10464999999999999</v>
      </c>
      <c r="K112">
        <f t="shared" si="3"/>
        <v>4.1859999999999999</v>
      </c>
      <c r="N112">
        <v>27.91</v>
      </c>
      <c r="O112">
        <v>28.24</v>
      </c>
      <c r="P112">
        <v>27.62</v>
      </c>
      <c r="Q112">
        <v>0.16800000000000001</v>
      </c>
      <c r="R112">
        <v>33.64</v>
      </c>
      <c r="S112">
        <v>34.17</v>
      </c>
      <c r="T112">
        <v>32.979999999999997</v>
      </c>
      <c r="U112">
        <v>0.27200000000000002</v>
      </c>
      <c r="V112">
        <v>2.331</v>
      </c>
      <c r="W112">
        <v>4.7</v>
      </c>
      <c r="X112">
        <v>0</v>
      </c>
      <c r="Y112">
        <v>0.93200000000000005</v>
      </c>
      <c r="Z112">
        <v>2.8540000000000001</v>
      </c>
      <c r="AA112">
        <v>873.03639999999996</v>
      </c>
      <c r="AB112">
        <v>0</v>
      </c>
    </row>
    <row r="113" spans="1:28" x14ac:dyDescent="0.3">
      <c r="A113" s="1">
        <v>44947.743055555555</v>
      </c>
      <c r="B113">
        <v>151</v>
      </c>
      <c r="C113">
        <v>12.67</v>
      </c>
      <c r="D113">
        <v>74.56</v>
      </c>
      <c r="E113">
        <v>281.89999999999998</v>
      </c>
      <c r="F113">
        <v>33.75</v>
      </c>
      <c r="G113">
        <v>114.7</v>
      </c>
      <c r="I113">
        <v>4.1219999999999999</v>
      </c>
      <c r="J113">
        <f t="shared" si="2"/>
        <v>0.10305</v>
      </c>
      <c r="K113">
        <f t="shared" si="3"/>
        <v>4.1219999999999999</v>
      </c>
      <c r="N113">
        <v>27.68</v>
      </c>
      <c r="O113">
        <v>28.14</v>
      </c>
      <c r="P113">
        <v>27.39</v>
      </c>
      <c r="Q113">
        <v>0.187</v>
      </c>
      <c r="R113">
        <v>34.4</v>
      </c>
      <c r="S113">
        <v>35.43</v>
      </c>
      <c r="T113">
        <v>33.049999999999997</v>
      </c>
      <c r="U113">
        <v>0.51100000000000001</v>
      </c>
      <c r="V113">
        <v>2.476</v>
      </c>
      <c r="W113">
        <v>3.95</v>
      </c>
      <c r="X113">
        <v>0</v>
      </c>
      <c r="Y113">
        <v>0.61799999999999999</v>
      </c>
      <c r="Z113">
        <v>2.806</v>
      </c>
      <c r="AA113">
        <v>873.00530000000003</v>
      </c>
      <c r="AB113">
        <v>0</v>
      </c>
    </row>
    <row r="114" spans="1:28" x14ac:dyDescent="0.3">
      <c r="A114" s="1">
        <v>44947.75</v>
      </c>
      <c r="B114">
        <v>152</v>
      </c>
      <c r="C114">
        <v>12.64</v>
      </c>
      <c r="D114">
        <v>38.53</v>
      </c>
      <c r="E114">
        <v>112.8</v>
      </c>
      <c r="F114">
        <v>23.79</v>
      </c>
      <c r="G114">
        <v>53.6</v>
      </c>
      <c r="I114">
        <v>4.0739999999999998</v>
      </c>
      <c r="J114">
        <f t="shared" si="2"/>
        <v>0.10185</v>
      </c>
      <c r="K114">
        <f t="shared" si="3"/>
        <v>4.0739999999999998</v>
      </c>
      <c r="N114">
        <v>27.2</v>
      </c>
      <c r="O114">
        <v>27.56</v>
      </c>
      <c r="P114">
        <v>26.74</v>
      </c>
      <c r="Q114">
        <v>0.20300000000000001</v>
      </c>
      <c r="R114">
        <v>35.39</v>
      </c>
      <c r="S114">
        <v>36.18</v>
      </c>
      <c r="T114">
        <v>34.31</v>
      </c>
      <c r="U114">
        <v>0.34399999999999997</v>
      </c>
      <c r="V114">
        <v>2.2440000000000002</v>
      </c>
      <c r="W114">
        <v>3.95</v>
      </c>
      <c r="X114">
        <v>0</v>
      </c>
      <c r="Y114">
        <v>0.69499999999999995</v>
      </c>
      <c r="Z114">
        <v>2.782</v>
      </c>
      <c r="AA114">
        <v>873.02319999999997</v>
      </c>
      <c r="AB114">
        <v>0</v>
      </c>
    </row>
    <row r="115" spans="1:28" x14ac:dyDescent="0.3">
      <c r="A115" s="1">
        <v>44947.756944444445</v>
      </c>
      <c r="B115">
        <v>153</v>
      </c>
      <c r="C115">
        <v>12.62</v>
      </c>
      <c r="D115">
        <v>17.739999999999998</v>
      </c>
      <c r="E115">
        <v>14.74</v>
      </c>
      <c r="F115">
        <v>13.86</v>
      </c>
      <c r="G115">
        <v>19.420000000000002</v>
      </c>
      <c r="I115">
        <v>4.0380000000000003</v>
      </c>
      <c r="J115">
        <f t="shared" si="2"/>
        <v>0.10095</v>
      </c>
      <c r="K115">
        <f t="shared" si="3"/>
        <v>4.0380000000000003</v>
      </c>
      <c r="N115">
        <v>26.61</v>
      </c>
      <c r="O115">
        <v>26.88</v>
      </c>
      <c r="P115">
        <v>26.37</v>
      </c>
      <c r="Q115">
        <v>0.11600000000000001</v>
      </c>
      <c r="R115">
        <v>36.17</v>
      </c>
      <c r="S115">
        <v>36.9</v>
      </c>
      <c r="T115">
        <v>35.33</v>
      </c>
      <c r="U115">
        <v>0.34699999999999998</v>
      </c>
      <c r="V115">
        <v>2.2229999999999999</v>
      </c>
      <c r="W115">
        <v>3.2</v>
      </c>
      <c r="X115">
        <v>0</v>
      </c>
      <c r="Y115">
        <v>0.50700000000000001</v>
      </c>
      <c r="Z115">
        <v>2.7090000000000001</v>
      </c>
      <c r="AA115">
        <v>873.12549999999999</v>
      </c>
      <c r="AB115">
        <v>0</v>
      </c>
    </row>
    <row r="116" spans="1:28" x14ac:dyDescent="0.3">
      <c r="A116" s="1">
        <v>44947.763888888891</v>
      </c>
      <c r="B116">
        <v>154</v>
      </c>
      <c r="C116">
        <v>12.59</v>
      </c>
      <c r="D116">
        <v>7.7469999999999999</v>
      </c>
      <c r="E116">
        <v>0.83699999999999997</v>
      </c>
      <c r="F116">
        <v>5.6849999999999996</v>
      </c>
      <c r="G116">
        <v>7.2480000000000002</v>
      </c>
      <c r="I116">
        <v>4.016</v>
      </c>
      <c r="J116">
        <f t="shared" si="2"/>
        <v>0.10039999999999999</v>
      </c>
      <c r="K116">
        <f t="shared" si="3"/>
        <v>4.016</v>
      </c>
      <c r="N116">
        <v>26.24</v>
      </c>
      <c r="O116">
        <v>26.51</v>
      </c>
      <c r="P116">
        <v>25.99</v>
      </c>
      <c r="Q116">
        <v>8.5999999999999993E-2</v>
      </c>
      <c r="R116">
        <v>37.25</v>
      </c>
      <c r="S116">
        <v>37.72</v>
      </c>
      <c r="T116">
        <v>36.630000000000003</v>
      </c>
      <c r="U116">
        <v>0.23100000000000001</v>
      </c>
      <c r="V116">
        <v>1.873</v>
      </c>
      <c r="W116">
        <v>3.2</v>
      </c>
      <c r="X116">
        <v>0.95</v>
      </c>
      <c r="Y116">
        <v>0.45400000000000001</v>
      </c>
      <c r="Z116">
        <v>2.7090000000000001</v>
      </c>
      <c r="AA116">
        <v>873.20479999999998</v>
      </c>
      <c r="AB116">
        <v>0</v>
      </c>
    </row>
    <row r="117" spans="1:28" x14ac:dyDescent="0.3">
      <c r="A117" s="1">
        <v>44947.770833333336</v>
      </c>
      <c r="B117">
        <v>155</v>
      </c>
      <c r="C117">
        <v>12.58</v>
      </c>
      <c r="D117">
        <v>1.3</v>
      </c>
      <c r="E117">
        <v>0.01</v>
      </c>
      <c r="F117">
        <v>0.47199999999999998</v>
      </c>
      <c r="G117">
        <v>0.68600000000000005</v>
      </c>
      <c r="I117">
        <v>3.996</v>
      </c>
      <c r="J117">
        <f t="shared" si="2"/>
        <v>9.9899999999999989E-2</v>
      </c>
      <c r="K117">
        <f t="shared" si="3"/>
        <v>3.9959999999999996</v>
      </c>
      <c r="N117">
        <v>26.02</v>
      </c>
      <c r="O117">
        <v>26.2</v>
      </c>
      <c r="P117">
        <v>25.86</v>
      </c>
      <c r="Q117">
        <v>6.3E-2</v>
      </c>
      <c r="R117">
        <v>37.86</v>
      </c>
      <c r="S117">
        <v>38.5</v>
      </c>
      <c r="T117">
        <v>37.24</v>
      </c>
      <c r="U117">
        <v>0.27300000000000002</v>
      </c>
      <c r="V117">
        <v>1.5329999999999999</v>
      </c>
      <c r="W117">
        <v>3.2</v>
      </c>
      <c r="X117">
        <v>0</v>
      </c>
      <c r="Y117">
        <v>0.51900000000000002</v>
      </c>
      <c r="Z117">
        <v>2.637</v>
      </c>
      <c r="AA117">
        <v>873.27599999999995</v>
      </c>
      <c r="AB117">
        <v>0</v>
      </c>
    </row>
    <row r="118" spans="1:28" x14ac:dyDescent="0.3">
      <c r="A118" s="1">
        <v>44947.777777777781</v>
      </c>
      <c r="B118">
        <v>156</v>
      </c>
      <c r="C118">
        <v>12.58</v>
      </c>
      <c r="D118">
        <v>0</v>
      </c>
      <c r="E118">
        <v>1.0999999999999999E-2</v>
      </c>
      <c r="F118">
        <v>0</v>
      </c>
      <c r="G118">
        <v>0</v>
      </c>
      <c r="I118">
        <v>3.9929999999999999</v>
      </c>
      <c r="J118">
        <f t="shared" si="2"/>
        <v>9.9824999999999983E-2</v>
      </c>
      <c r="K118">
        <f t="shared" si="3"/>
        <v>3.9929999999999994</v>
      </c>
      <c r="N118">
        <v>25.78</v>
      </c>
      <c r="O118">
        <v>26</v>
      </c>
      <c r="P118">
        <v>25.56</v>
      </c>
      <c r="Q118">
        <v>8.6999999999999994E-2</v>
      </c>
      <c r="R118">
        <v>38.659999999999997</v>
      </c>
      <c r="S118">
        <v>39.630000000000003</v>
      </c>
      <c r="T118">
        <v>37.92</v>
      </c>
      <c r="U118">
        <v>0.32700000000000001</v>
      </c>
      <c r="V118">
        <v>1.2649999999999999</v>
      </c>
      <c r="W118">
        <v>2.4500000000000002</v>
      </c>
      <c r="X118">
        <v>0</v>
      </c>
      <c r="Y118">
        <v>0.42399999999999999</v>
      </c>
      <c r="Z118">
        <v>2.5640000000000001</v>
      </c>
      <c r="AA118">
        <v>873.30510000000004</v>
      </c>
      <c r="AB118">
        <v>0</v>
      </c>
    </row>
    <row r="119" spans="1:28" x14ac:dyDescent="0.3">
      <c r="A119" s="1">
        <v>44947.784722222219</v>
      </c>
      <c r="B119">
        <v>157</v>
      </c>
      <c r="C119">
        <v>12.56</v>
      </c>
      <c r="D119">
        <v>0</v>
      </c>
      <c r="E119">
        <v>1.7999999999999999E-2</v>
      </c>
      <c r="F119">
        <v>0</v>
      </c>
      <c r="G119">
        <v>0</v>
      </c>
      <c r="I119">
        <v>3.9940000000000002</v>
      </c>
      <c r="J119">
        <f t="shared" si="2"/>
        <v>9.9850000000000008E-2</v>
      </c>
      <c r="K119">
        <f t="shared" si="3"/>
        <v>3.9940000000000002</v>
      </c>
      <c r="N119">
        <v>25.58</v>
      </c>
      <c r="O119">
        <v>25.73</v>
      </c>
      <c r="P119">
        <v>25.42</v>
      </c>
      <c r="Q119">
        <v>5.6000000000000001E-2</v>
      </c>
      <c r="R119">
        <v>38.72</v>
      </c>
      <c r="S119">
        <v>39.700000000000003</v>
      </c>
      <c r="T119">
        <v>37.82</v>
      </c>
      <c r="U119">
        <v>0.38900000000000001</v>
      </c>
      <c r="V119">
        <v>1.099</v>
      </c>
      <c r="W119">
        <v>2.4500000000000002</v>
      </c>
      <c r="X119">
        <v>0</v>
      </c>
      <c r="Y119">
        <v>0.61</v>
      </c>
      <c r="Z119">
        <v>2.54</v>
      </c>
      <c r="AA119">
        <v>873.48940000000005</v>
      </c>
      <c r="AB119">
        <v>0</v>
      </c>
    </row>
    <row r="120" spans="1:28" x14ac:dyDescent="0.3">
      <c r="A120" s="1">
        <v>44947.791666666664</v>
      </c>
      <c r="B120">
        <v>158</v>
      </c>
      <c r="C120">
        <v>12.57</v>
      </c>
      <c r="D120">
        <v>0</v>
      </c>
      <c r="E120">
        <v>0.03</v>
      </c>
      <c r="F120">
        <v>0</v>
      </c>
      <c r="G120">
        <v>0</v>
      </c>
      <c r="I120">
        <v>3.9940000000000002</v>
      </c>
      <c r="J120">
        <f t="shared" si="2"/>
        <v>9.9850000000000008E-2</v>
      </c>
      <c r="K120">
        <f t="shared" si="3"/>
        <v>3.9940000000000002</v>
      </c>
      <c r="N120">
        <v>25.41</v>
      </c>
      <c r="O120">
        <v>25.6</v>
      </c>
      <c r="P120">
        <v>25.25</v>
      </c>
      <c r="Q120">
        <v>7.0999999999999994E-2</v>
      </c>
      <c r="R120">
        <v>38.450000000000003</v>
      </c>
      <c r="S120">
        <v>39.020000000000003</v>
      </c>
      <c r="T120">
        <v>37.82</v>
      </c>
      <c r="U120">
        <v>0.27200000000000002</v>
      </c>
      <c r="V120">
        <v>1.2969999999999999</v>
      </c>
      <c r="W120">
        <v>2.4500000000000002</v>
      </c>
      <c r="X120">
        <v>0</v>
      </c>
      <c r="Y120">
        <v>0.50700000000000001</v>
      </c>
      <c r="Z120">
        <v>2.54</v>
      </c>
      <c r="AA120">
        <v>873.55449999999996</v>
      </c>
      <c r="AB120">
        <v>0</v>
      </c>
    </row>
    <row r="121" spans="1:28" x14ac:dyDescent="0.3">
      <c r="A121" s="1">
        <v>44947.798611111109</v>
      </c>
      <c r="B121">
        <v>159</v>
      </c>
      <c r="C121">
        <v>12.56</v>
      </c>
      <c r="D121">
        <v>0</v>
      </c>
      <c r="E121">
        <v>1.7999999999999999E-2</v>
      </c>
      <c r="F121">
        <v>0</v>
      </c>
      <c r="G121">
        <v>0</v>
      </c>
      <c r="I121">
        <v>3.9940000000000002</v>
      </c>
      <c r="J121">
        <f t="shared" si="2"/>
        <v>9.9850000000000008E-2</v>
      </c>
      <c r="K121">
        <f t="shared" si="3"/>
        <v>3.9940000000000002</v>
      </c>
      <c r="N121">
        <v>25.25</v>
      </c>
      <c r="O121">
        <v>25.46</v>
      </c>
      <c r="P121">
        <v>24.98</v>
      </c>
      <c r="Q121">
        <v>0.1</v>
      </c>
      <c r="R121">
        <v>38.57</v>
      </c>
      <c r="S121">
        <v>40.17</v>
      </c>
      <c r="T121">
        <v>37.86</v>
      </c>
      <c r="U121">
        <v>0.38300000000000001</v>
      </c>
      <c r="V121">
        <v>0.63</v>
      </c>
      <c r="W121">
        <v>2.4500000000000002</v>
      </c>
      <c r="X121">
        <v>0</v>
      </c>
      <c r="Y121">
        <v>0.63100000000000001</v>
      </c>
      <c r="Z121">
        <v>2.468</v>
      </c>
      <c r="AA121">
        <v>873.71190000000001</v>
      </c>
      <c r="AB121">
        <v>0</v>
      </c>
    </row>
    <row r="122" spans="1:28" x14ac:dyDescent="0.3">
      <c r="A122" s="1">
        <v>44947.805555555555</v>
      </c>
      <c r="B122">
        <v>160</v>
      </c>
      <c r="C122">
        <v>12.54</v>
      </c>
      <c r="D122">
        <v>0</v>
      </c>
      <c r="E122">
        <v>8.9999999999999993E-3</v>
      </c>
      <c r="F122">
        <v>0</v>
      </c>
      <c r="G122">
        <v>0</v>
      </c>
      <c r="I122">
        <v>3.9940000000000002</v>
      </c>
      <c r="J122">
        <f t="shared" si="2"/>
        <v>9.9850000000000008E-2</v>
      </c>
      <c r="K122">
        <f t="shared" si="3"/>
        <v>3.9940000000000002</v>
      </c>
      <c r="N122">
        <v>24.97</v>
      </c>
      <c r="O122">
        <v>25.12</v>
      </c>
      <c r="P122">
        <v>24.78</v>
      </c>
      <c r="Q122">
        <v>6.4000000000000001E-2</v>
      </c>
      <c r="R122">
        <v>39.119999999999997</v>
      </c>
      <c r="S122">
        <v>40.96</v>
      </c>
      <c r="T122">
        <v>38.299999999999997</v>
      </c>
      <c r="U122">
        <v>0.4</v>
      </c>
      <c r="V122">
        <v>0.214</v>
      </c>
      <c r="W122">
        <v>1.7</v>
      </c>
      <c r="X122">
        <v>0</v>
      </c>
      <c r="Y122">
        <v>0.43</v>
      </c>
      <c r="Z122">
        <v>2.419</v>
      </c>
      <c r="AA122">
        <v>873.72059999999999</v>
      </c>
      <c r="AB122">
        <v>0</v>
      </c>
    </row>
    <row r="123" spans="1:28" x14ac:dyDescent="0.3">
      <c r="A123" s="1">
        <v>44947.8125</v>
      </c>
      <c r="B123">
        <v>161</v>
      </c>
      <c r="C123">
        <v>12.54</v>
      </c>
      <c r="D123">
        <v>0</v>
      </c>
      <c r="E123">
        <v>2.4E-2</v>
      </c>
      <c r="F123">
        <v>0</v>
      </c>
      <c r="G123">
        <v>0</v>
      </c>
      <c r="I123">
        <v>3.9940000000000002</v>
      </c>
      <c r="J123">
        <f t="shared" si="2"/>
        <v>9.9850000000000008E-2</v>
      </c>
      <c r="K123">
        <f t="shared" si="3"/>
        <v>3.9940000000000002</v>
      </c>
      <c r="N123">
        <v>24.87</v>
      </c>
      <c r="O123">
        <v>25.08</v>
      </c>
      <c r="P123">
        <v>24.44</v>
      </c>
      <c r="Q123">
        <v>0.153</v>
      </c>
      <c r="R123">
        <v>39.75</v>
      </c>
      <c r="S123">
        <v>42.12</v>
      </c>
      <c r="T123">
        <v>37.380000000000003</v>
      </c>
      <c r="U123">
        <v>1.3640000000000001</v>
      </c>
      <c r="V123">
        <v>0.16</v>
      </c>
      <c r="W123">
        <v>2.4500000000000002</v>
      </c>
      <c r="X123">
        <v>0</v>
      </c>
      <c r="Y123">
        <v>0.42099999999999999</v>
      </c>
      <c r="Z123">
        <v>2.274</v>
      </c>
      <c r="AA123">
        <v>873.82560000000001</v>
      </c>
      <c r="AB123">
        <v>0</v>
      </c>
    </row>
    <row r="124" spans="1:28" x14ac:dyDescent="0.3">
      <c r="A124" s="1">
        <v>44947.819444444445</v>
      </c>
      <c r="B124">
        <v>162</v>
      </c>
      <c r="C124">
        <v>12.53</v>
      </c>
      <c r="D124">
        <v>0</v>
      </c>
      <c r="E124">
        <v>0</v>
      </c>
      <c r="F124">
        <v>0</v>
      </c>
      <c r="G124">
        <v>0</v>
      </c>
      <c r="I124">
        <v>3.9940000000000002</v>
      </c>
      <c r="J124">
        <f t="shared" si="2"/>
        <v>9.9850000000000008E-2</v>
      </c>
      <c r="K124">
        <f t="shared" si="3"/>
        <v>3.9940000000000002</v>
      </c>
      <c r="N124">
        <v>24.12</v>
      </c>
      <c r="O124">
        <v>24.54</v>
      </c>
      <c r="P124">
        <v>23.69</v>
      </c>
      <c r="Q124">
        <v>0.182</v>
      </c>
      <c r="R124">
        <v>42.45</v>
      </c>
      <c r="S124">
        <v>44.26</v>
      </c>
      <c r="T124">
        <v>40.99</v>
      </c>
      <c r="U124">
        <v>0.94899999999999995</v>
      </c>
      <c r="V124">
        <v>1.4E-2</v>
      </c>
      <c r="W124">
        <v>0.95</v>
      </c>
      <c r="X124">
        <v>0</v>
      </c>
      <c r="Y124">
        <v>0.115</v>
      </c>
      <c r="Z124">
        <v>2.25</v>
      </c>
      <c r="AA124">
        <v>873.90750000000003</v>
      </c>
      <c r="AB124">
        <v>0</v>
      </c>
    </row>
    <row r="125" spans="1:28" x14ac:dyDescent="0.3">
      <c r="A125" s="1">
        <v>44947.826388888891</v>
      </c>
      <c r="B125">
        <v>163</v>
      </c>
      <c r="C125">
        <v>12.54</v>
      </c>
      <c r="D125">
        <v>0</v>
      </c>
      <c r="E125">
        <v>1E-3</v>
      </c>
      <c r="F125">
        <v>0</v>
      </c>
      <c r="G125">
        <v>0</v>
      </c>
      <c r="I125">
        <v>3.9940000000000002</v>
      </c>
      <c r="J125">
        <f t="shared" si="2"/>
        <v>9.9850000000000008E-2</v>
      </c>
      <c r="K125">
        <f t="shared" si="3"/>
        <v>3.9940000000000002</v>
      </c>
      <c r="N125">
        <v>23.39</v>
      </c>
      <c r="O125">
        <v>23.89</v>
      </c>
      <c r="P125">
        <v>22.74</v>
      </c>
      <c r="Q125">
        <v>0.33900000000000002</v>
      </c>
      <c r="R125">
        <v>45.54</v>
      </c>
      <c r="S125">
        <v>48.39</v>
      </c>
      <c r="T125">
        <v>42.39</v>
      </c>
      <c r="U125">
        <v>1.5980000000000001</v>
      </c>
      <c r="V125">
        <v>0.69799999999999995</v>
      </c>
      <c r="W125">
        <v>2.4500000000000002</v>
      </c>
      <c r="X125">
        <v>0</v>
      </c>
      <c r="Y125">
        <v>0.79800000000000004</v>
      </c>
      <c r="Z125">
        <v>2.25</v>
      </c>
      <c r="AA125">
        <v>874.07899999999995</v>
      </c>
      <c r="AB125">
        <v>0</v>
      </c>
    </row>
    <row r="126" spans="1:28" x14ac:dyDescent="0.3">
      <c r="A126" s="1">
        <v>44947.833333333336</v>
      </c>
      <c r="B126">
        <v>164</v>
      </c>
      <c r="C126">
        <v>12.53</v>
      </c>
      <c r="D126">
        <v>0</v>
      </c>
      <c r="E126">
        <v>1.2E-2</v>
      </c>
      <c r="F126">
        <v>0</v>
      </c>
      <c r="G126">
        <v>0</v>
      </c>
      <c r="I126">
        <v>3.9940000000000002</v>
      </c>
      <c r="J126">
        <f t="shared" si="2"/>
        <v>9.9850000000000008E-2</v>
      </c>
      <c r="K126">
        <f t="shared" si="3"/>
        <v>3.9940000000000002</v>
      </c>
      <c r="N126">
        <v>22.78</v>
      </c>
      <c r="O126">
        <v>22.97</v>
      </c>
      <c r="P126">
        <v>22.57</v>
      </c>
      <c r="Q126">
        <v>7.8E-2</v>
      </c>
      <c r="R126">
        <v>46.23</v>
      </c>
      <c r="S126">
        <v>47.47</v>
      </c>
      <c r="T126">
        <v>44.57</v>
      </c>
      <c r="U126">
        <v>0.622</v>
      </c>
      <c r="V126">
        <v>1.391</v>
      </c>
      <c r="W126">
        <v>2.4500000000000002</v>
      </c>
      <c r="X126">
        <v>0</v>
      </c>
      <c r="Y126">
        <v>0.40100000000000002</v>
      </c>
      <c r="Z126">
        <v>2.226</v>
      </c>
      <c r="AA126">
        <v>874.24810000000002</v>
      </c>
      <c r="AB126">
        <v>0</v>
      </c>
    </row>
    <row r="127" spans="1:28" x14ac:dyDescent="0.3">
      <c r="A127" s="1">
        <v>44947.840277777781</v>
      </c>
      <c r="B127">
        <v>165</v>
      </c>
      <c r="C127">
        <v>12.51</v>
      </c>
      <c r="D127">
        <v>0</v>
      </c>
      <c r="E127">
        <v>0.105</v>
      </c>
      <c r="F127">
        <v>0</v>
      </c>
      <c r="G127">
        <v>0</v>
      </c>
      <c r="I127">
        <v>3.9940000000000002</v>
      </c>
      <c r="J127">
        <f t="shared" si="2"/>
        <v>9.9850000000000008E-2</v>
      </c>
      <c r="K127">
        <f t="shared" si="3"/>
        <v>3.9940000000000002</v>
      </c>
      <c r="N127">
        <v>23.01</v>
      </c>
      <c r="O127">
        <v>23.32</v>
      </c>
      <c r="P127">
        <v>22.7</v>
      </c>
      <c r="Q127">
        <v>0.155</v>
      </c>
      <c r="R127">
        <v>45.26</v>
      </c>
      <c r="S127">
        <v>47.5</v>
      </c>
      <c r="T127">
        <v>43.45</v>
      </c>
      <c r="U127">
        <v>1.1579999999999999</v>
      </c>
      <c r="V127">
        <v>1.284</v>
      </c>
      <c r="W127">
        <v>2.4500000000000002</v>
      </c>
      <c r="X127">
        <v>0</v>
      </c>
      <c r="Y127">
        <v>0.47599999999999998</v>
      </c>
      <c r="Z127">
        <v>2.202</v>
      </c>
      <c r="AA127">
        <v>874.34109999999998</v>
      </c>
      <c r="AB127">
        <v>0</v>
      </c>
    </row>
    <row r="128" spans="1:28" x14ac:dyDescent="0.3">
      <c r="A128" s="1">
        <v>44947.847222222219</v>
      </c>
      <c r="B128">
        <v>166</v>
      </c>
      <c r="C128">
        <v>12.51</v>
      </c>
      <c r="D128">
        <v>0</v>
      </c>
      <c r="E128">
        <v>7.0000000000000001E-3</v>
      </c>
      <c r="F128">
        <v>0</v>
      </c>
      <c r="G128">
        <v>0</v>
      </c>
      <c r="I128">
        <v>3.9940000000000002</v>
      </c>
      <c r="J128">
        <f t="shared" si="2"/>
        <v>9.9850000000000008E-2</v>
      </c>
      <c r="K128">
        <f t="shared" si="3"/>
        <v>3.9940000000000002</v>
      </c>
      <c r="N128">
        <v>22.87</v>
      </c>
      <c r="O128">
        <v>23.08</v>
      </c>
      <c r="P128">
        <v>22.67</v>
      </c>
      <c r="Q128">
        <v>7.8E-2</v>
      </c>
      <c r="R128">
        <v>45.89</v>
      </c>
      <c r="S128">
        <v>46.92</v>
      </c>
      <c r="T128">
        <v>44.44</v>
      </c>
      <c r="U128">
        <v>0.55200000000000005</v>
      </c>
      <c r="V128">
        <v>0.34899999999999998</v>
      </c>
      <c r="W128">
        <v>1.7</v>
      </c>
      <c r="X128">
        <v>0</v>
      </c>
      <c r="Y128">
        <v>0.496</v>
      </c>
      <c r="Z128">
        <v>2.371</v>
      </c>
      <c r="AA128">
        <v>874.50450000000001</v>
      </c>
      <c r="AB128">
        <v>0</v>
      </c>
    </row>
    <row r="129" spans="1:28" x14ac:dyDescent="0.3">
      <c r="A129" s="1">
        <v>44947.854166666664</v>
      </c>
      <c r="B129">
        <v>167</v>
      </c>
      <c r="C129">
        <v>12.5</v>
      </c>
      <c r="D129">
        <v>0</v>
      </c>
      <c r="E129">
        <v>0.111</v>
      </c>
      <c r="F129">
        <v>0</v>
      </c>
      <c r="G129">
        <v>0</v>
      </c>
      <c r="I129">
        <v>3.9940000000000002</v>
      </c>
      <c r="J129">
        <f t="shared" si="2"/>
        <v>9.9850000000000008E-2</v>
      </c>
      <c r="K129">
        <f t="shared" si="3"/>
        <v>3.9940000000000002</v>
      </c>
      <c r="N129">
        <v>22.92</v>
      </c>
      <c r="O129">
        <v>23.35</v>
      </c>
      <c r="P129">
        <v>22.6</v>
      </c>
      <c r="Q129">
        <v>0.16800000000000001</v>
      </c>
      <c r="R129">
        <v>46.51</v>
      </c>
      <c r="S129">
        <v>47.61</v>
      </c>
      <c r="T129">
        <v>45.7</v>
      </c>
      <c r="U129">
        <v>0.378</v>
      </c>
      <c r="V129">
        <v>0</v>
      </c>
      <c r="W129">
        <v>0</v>
      </c>
      <c r="X129">
        <v>0</v>
      </c>
      <c r="Y129">
        <v>0</v>
      </c>
      <c r="Z129">
        <v>2.274</v>
      </c>
      <c r="AA129">
        <v>874.56190000000004</v>
      </c>
      <c r="AB129">
        <v>0</v>
      </c>
    </row>
    <row r="130" spans="1:28" x14ac:dyDescent="0.3">
      <c r="A130" s="1">
        <v>44947.861111111109</v>
      </c>
      <c r="B130">
        <v>168</v>
      </c>
      <c r="C130">
        <v>12.5</v>
      </c>
      <c r="D130">
        <v>0</v>
      </c>
      <c r="E130">
        <v>4.0000000000000001E-3</v>
      </c>
      <c r="F130">
        <v>0</v>
      </c>
      <c r="G130">
        <v>0</v>
      </c>
      <c r="I130">
        <v>3.9940000000000002</v>
      </c>
      <c r="J130">
        <f t="shared" si="2"/>
        <v>9.9850000000000008E-2</v>
      </c>
      <c r="K130">
        <f t="shared" si="3"/>
        <v>3.9940000000000002</v>
      </c>
      <c r="N130">
        <v>22.96</v>
      </c>
      <c r="O130">
        <v>23.35</v>
      </c>
      <c r="P130">
        <v>22.26</v>
      </c>
      <c r="Q130">
        <v>0.29299999999999998</v>
      </c>
      <c r="R130">
        <v>47.25</v>
      </c>
      <c r="S130">
        <v>49.72</v>
      </c>
      <c r="T130">
        <v>45.9</v>
      </c>
      <c r="U130">
        <v>1.0900000000000001</v>
      </c>
      <c r="V130">
        <v>0</v>
      </c>
      <c r="W130">
        <v>0</v>
      </c>
      <c r="X130">
        <v>0</v>
      </c>
      <c r="Y130">
        <v>0</v>
      </c>
      <c r="Z130">
        <v>2.323</v>
      </c>
      <c r="AA130">
        <v>874.65179999999998</v>
      </c>
      <c r="AB130">
        <v>0</v>
      </c>
    </row>
    <row r="131" spans="1:28" x14ac:dyDescent="0.3">
      <c r="A131" s="1">
        <v>44947.868055555555</v>
      </c>
      <c r="B131">
        <v>169</v>
      </c>
      <c r="C131">
        <v>12.5</v>
      </c>
      <c r="D131">
        <v>0</v>
      </c>
      <c r="E131">
        <v>3.0000000000000001E-3</v>
      </c>
      <c r="F131">
        <v>0</v>
      </c>
      <c r="G131">
        <v>0</v>
      </c>
      <c r="I131">
        <v>3.9940000000000002</v>
      </c>
      <c r="J131">
        <f t="shared" si="2"/>
        <v>9.9850000000000008E-2</v>
      </c>
      <c r="K131">
        <f t="shared" si="3"/>
        <v>3.9940000000000002</v>
      </c>
      <c r="N131">
        <v>21.85</v>
      </c>
      <c r="O131">
        <v>22.4</v>
      </c>
      <c r="P131">
        <v>21.24</v>
      </c>
      <c r="Q131">
        <v>0.26600000000000001</v>
      </c>
      <c r="R131">
        <v>50.56</v>
      </c>
      <c r="S131">
        <v>52.89</v>
      </c>
      <c r="T131">
        <v>49.04</v>
      </c>
      <c r="U131">
        <v>1.196</v>
      </c>
      <c r="V131">
        <v>1.272</v>
      </c>
      <c r="W131">
        <v>2.4500000000000002</v>
      </c>
      <c r="X131">
        <v>0</v>
      </c>
      <c r="Y131">
        <v>0.60299999999999998</v>
      </c>
      <c r="Z131">
        <v>2.2989999999999999</v>
      </c>
      <c r="AA131">
        <v>874.72550000000001</v>
      </c>
      <c r="AB131">
        <v>0</v>
      </c>
    </row>
    <row r="132" spans="1:28" x14ac:dyDescent="0.3">
      <c r="A132" s="1">
        <v>44947.875</v>
      </c>
      <c r="B132">
        <v>170</v>
      </c>
      <c r="C132">
        <v>12.49</v>
      </c>
      <c r="D132">
        <v>0</v>
      </c>
      <c r="E132">
        <v>8.0000000000000002E-3</v>
      </c>
      <c r="F132">
        <v>0</v>
      </c>
      <c r="G132">
        <v>0</v>
      </c>
      <c r="I132">
        <v>3.9940000000000002</v>
      </c>
      <c r="J132">
        <f t="shared" si="2"/>
        <v>9.9850000000000008E-2</v>
      </c>
      <c r="K132">
        <f t="shared" si="3"/>
        <v>3.9940000000000002</v>
      </c>
      <c r="N132">
        <v>21.22</v>
      </c>
      <c r="O132">
        <v>21.41</v>
      </c>
      <c r="P132">
        <v>21.03</v>
      </c>
      <c r="Q132">
        <v>6.3E-2</v>
      </c>
      <c r="R132">
        <v>52.36</v>
      </c>
      <c r="S132">
        <v>52.96</v>
      </c>
      <c r="T132">
        <v>51.76</v>
      </c>
      <c r="U132">
        <v>0.26200000000000001</v>
      </c>
      <c r="V132">
        <v>1.522</v>
      </c>
      <c r="W132">
        <v>2.4500000000000002</v>
      </c>
      <c r="X132">
        <v>0</v>
      </c>
      <c r="Y132">
        <v>0.53100000000000003</v>
      </c>
      <c r="Z132">
        <v>2.274</v>
      </c>
      <c r="AA132">
        <v>874.82339999999999</v>
      </c>
      <c r="AB132">
        <v>0</v>
      </c>
    </row>
    <row r="133" spans="1:28" x14ac:dyDescent="0.3">
      <c r="A133" s="1">
        <v>44947.881944444445</v>
      </c>
      <c r="B133">
        <v>171</v>
      </c>
      <c r="C133">
        <v>12.47</v>
      </c>
      <c r="D133">
        <v>0</v>
      </c>
      <c r="E133">
        <v>1.4E-2</v>
      </c>
      <c r="F133">
        <v>0</v>
      </c>
      <c r="G133">
        <v>0</v>
      </c>
      <c r="I133">
        <v>3.9940000000000002</v>
      </c>
      <c r="J133">
        <f t="shared" si="2"/>
        <v>9.9850000000000008E-2</v>
      </c>
      <c r="K133">
        <f t="shared" si="3"/>
        <v>3.9940000000000002</v>
      </c>
      <c r="N133">
        <v>21.24</v>
      </c>
      <c r="O133">
        <v>21.41</v>
      </c>
      <c r="P133">
        <v>21.03</v>
      </c>
      <c r="Q133">
        <v>6.5000000000000002E-2</v>
      </c>
      <c r="R133">
        <v>52.45</v>
      </c>
      <c r="S133">
        <v>52.99</v>
      </c>
      <c r="T133">
        <v>52</v>
      </c>
      <c r="U133">
        <v>0.221</v>
      </c>
      <c r="V133">
        <v>1.841</v>
      </c>
      <c r="W133">
        <v>2.4500000000000002</v>
      </c>
      <c r="X133">
        <v>0.95</v>
      </c>
      <c r="Y133">
        <v>0.32900000000000001</v>
      </c>
      <c r="Z133">
        <v>2.226</v>
      </c>
      <c r="AA133">
        <v>874.83989999999994</v>
      </c>
      <c r="AB133">
        <v>0</v>
      </c>
    </row>
    <row r="134" spans="1:28" x14ac:dyDescent="0.3">
      <c r="A134" s="1">
        <v>44947.888888888891</v>
      </c>
      <c r="B134">
        <v>172</v>
      </c>
      <c r="C134">
        <v>12.37</v>
      </c>
      <c r="D134">
        <v>0</v>
      </c>
      <c r="E134">
        <v>1.4E-2</v>
      </c>
      <c r="F134">
        <v>0</v>
      </c>
      <c r="G134">
        <v>0</v>
      </c>
      <c r="I134">
        <v>3.9940000000000002</v>
      </c>
      <c r="J134">
        <f t="shared" si="2"/>
        <v>9.9850000000000008E-2</v>
      </c>
      <c r="K134">
        <f t="shared" si="3"/>
        <v>3.9940000000000002</v>
      </c>
      <c r="N134">
        <v>21.2</v>
      </c>
      <c r="O134">
        <v>21.41</v>
      </c>
      <c r="P134">
        <v>20.9</v>
      </c>
      <c r="Q134">
        <v>0.112</v>
      </c>
      <c r="R134">
        <v>52.58</v>
      </c>
      <c r="S134">
        <v>53.47</v>
      </c>
      <c r="T134">
        <v>51.97</v>
      </c>
      <c r="U134">
        <v>0.38700000000000001</v>
      </c>
      <c r="V134">
        <v>2.1989999999999998</v>
      </c>
      <c r="W134">
        <v>3.2</v>
      </c>
      <c r="X134">
        <v>1.7</v>
      </c>
      <c r="Y134">
        <v>0.36399999999999999</v>
      </c>
      <c r="Z134">
        <v>2.202</v>
      </c>
      <c r="AA134">
        <v>874.89710000000002</v>
      </c>
      <c r="AB134">
        <v>0</v>
      </c>
    </row>
    <row r="135" spans="1:28" x14ac:dyDescent="0.3">
      <c r="A135" s="1">
        <v>44947.895833333336</v>
      </c>
      <c r="B135">
        <v>173</v>
      </c>
      <c r="C135">
        <v>12.2</v>
      </c>
      <c r="D135">
        <v>0</v>
      </c>
      <c r="E135">
        <v>4.0000000000000001E-3</v>
      </c>
      <c r="F135">
        <v>0</v>
      </c>
      <c r="G135">
        <v>0</v>
      </c>
      <c r="I135">
        <v>3.9940000000000002</v>
      </c>
      <c r="J135">
        <f t="shared" ref="J135:J149" si="4">(I135/0.04)/1000</f>
        <v>9.9850000000000008E-2</v>
      </c>
      <c r="K135">
        <f t="shared" ref="K135:K149" si="5">J135*$L$5</f>
        <v>3.9940000000000002</v>
      </c>
      <c r="N135">
        <v>20.68</v>
      </c>
      <c r="O135">
        <v>21.07</v>
      </c>
      <c r="P135">
        <v>20.149999999999999</v>
      </c>
      <c r="Q135">
        <v>0.25900000000000001</v>
      </c>
      <c r="R135">
        <v>53.92</v>
      </c>
      <c r="S135">
        <v>55.48</v>
      </c>
      <c r="T135">
        <v>52.96</v>
      </c>
      <c r="U135">
        <v>0.72199999999999998</v>
      </c>
      <c r="V135">
        <v>2.1880000000000002</v>
      </c>
      <c r="W135">
        <v>3.2</v>
      </c>
      <c r="X135">
        <v>1.7</v>
      </c>
      <c r="Y135">
        <v>0.40400000000000003</v>
      </c>
      <c r="Z135">
        <v>2.1779999999999999</v>
      </c>
      <c r="AA135">
        <v>874.97080000000005</v>
      </c>
      <c r="AB135">
        <v>0</v>
      </c>
    </row>
    <row r="136" spans="1:28" x14ac:dyDescent="0.3">
      <c r="A136" s="1">
        <v>44947.902777777781</v>
      </c>
      <c r="B136">
        <v>174</v>
      </c>
      <c r="C136">
        <v>11.99</v>
      </c>
      <c r="D136">
        <v>0</v>
      </c>
      <c r="E136">
        <v>0</v>
      </c>
      <c r="F136">
        <v>0</v>
      </c>
      <c r="G136">
        <v>0</v>
      </c>
      <c r="I136">
        <v>3.9940000000000002</v>
      </c>
      <c r="J136">
        <f t="shared" si="4"/>
        <v>9.9850000000000008E-2</v>
      </c>
      <c r="K136">
        <f t="shared" si="5"/>
        <v>3.9940000000000002</v>
      </c>
      <c r="N136">
        <v>19.96</v>
      </c>
      <c r="O136">
        <v>20.21</v>
      </c>
      <c r="P136">
        <v>19.670000000000002</v>
      </c>
      <c r="Q136">
        <v>0.11600000000000001</v>
      </c>
      <c r="R136">
        <v>55.44</v>
      </c>
      <c r="S136">
        <v>55.99</v>
      </c>
      <c r="T136">
        <v>54.97</v>
      </c>
      <c r="U136">
        <v>0.193</v>
      </c>
      <c r="V136">
        <v>2.1360000000000001</v>
      </c>
      <c r="W136">
        <v>3.2</v>
      </c>
      <c r="X136">
        <v>0</v>
      </c>
      <c r="Y136">
        <v>0.47799999999999998</v>
      </c>
      <c r="Z136">
        <v>2.1779999999999999</v>
      </c>
      <c r="AA136">
        <v>875.04459999999995</v>
      </c>
      <c r="AB136">
        <v>0</v>
      </c>
    </row>
    <row r="137" spans="1:28" x14ac:dyDescent="0.3">
      <c r="A137" s="1">
        <v>44947.909722222219</v>
      </c>
      <c r="B137">
        <v>175</v>
      </c>
      <c r="C137">
        <v>11.79</v>
      </c>
      <c r="D137">
        <v>0</v>
      </c>
      <c r="E137">
        <v>1E-3</v>
      </c>
      <c r="F137">
        <v>0</v>
      </c>
      <c r="G137">
        <v>0</v>
      </c>
      <c r="I137">
        <v>3.9940000000000002</v>
      </c>
      <c r="J137">
        <f t="shared" si="4"/>
        <v>9.9850000000000008E-2</v>
      </c>
      <c r="K137">
        <f t="shared" si="5"/>
        <v>3.9940000000000002</v>
      </c>
      <c r="N137">
        <v>19.52</v>
      </c>
      <c r="O137">
        <v>19.77</v>
      </c>
      <c r="P137">
        <v>19.329999999999998</v>
      </c>
      <c r="Q137">
        <v>0.10100000000000001</v>
      </c>
      <c r="R137">
        <v>56.21</v>
      </c>
      <c r="S137">
        <v>56.67</v>
      </c>
      <c r="T137">
        <v>55.68</v>
      </c>
      <c r="U137">
        <v>0.219</v>
      </c>
      <c r="V137">
        <v>2.0169999999999999</v>
      </c>
      <c r="W137">
        <v>3.2</v>
      </c>
      <c r="X137">
        <v>0.95</v>
      </c>
      <c r="Y137">
        <v>0.438</v>
      </c>
      <c r="Z137">
        <v>2.129</v>
      </c>
      <c r="AA137">
        <v>875.13430000000005</v>
      </c>
      <c r="AB137">
        <v>0</v>
      </c>
    </row>
    <row r="138" spans="1:28" x14ac:dyDescent="0.3">
      <c r="A138" s="1">
        <v>44947.916666666664</v>
      </c>
      <c r="B138">
        <v>176</v>
      </c>
      <c r="C138">
        <v>11.3</v>
      </c>
      <c r="D138">
        <v>0</v>
      </c>
      <c r="E138">
        <v>3.6999999999999998E-2</v>
      </c>
      <c r="F138">
        <v>0</v>
      </c>
      <c r="G138">
        <v>0</v>
      </c>
      <c r="I138">
        <v>3.9940000000000002</v>
      </c>
      <c r="J138">
        <f t="shared" si="4"/>
        <v>9.9850000000000008E-2</v>
      </c>
      <c r="K138">
        <f t="shared" si="5"/>
        <v>3.9940000000000002</v>
      </c>
      <c r="N138">
        <v>19.850000000000001</v>
      </c>
      <c r="O138">
        <v>20.149999999999999</v>
      </c>
      <c r="P138">
        <v>19.46</v>
      </c>
      <c r="Q138">
        <v>0.16500000000000001</v>
      </c>
      <c r="R138">
        <v>54.51</v>
      </c>
      <c r="S138">
        <v>55.89</v>
      </c>
      <c r="T138">
        <v>53.71</v>
      </c>
      <c r="U138">
        <v>0.60899999999999999</v>
      </c>
      <c r="V138">
        <v>2.0299999999999998</v>
      </c>
      <c r="W138">
        <v>3.2</v>
      </c>
      <c r="X138">
        <v>0.95</v>
      </c>
      <c r="Y138">
        <v>0.39</v>
      </c>
      <c r="Z138">
        <v>2.105</v>
      </c>
      <c r="AA138">
        <v>875.21609999999998</v>
      </c>
      <c r="AB138">
        <v>0</v>
      </c>
    </row>
    <row r="139" spans="1:28" x14ac:dyDescent="0.3">
      <c r="A139" s="1">
        <v>44947.923611111109</v>
      </c>
      <c r="B139">
        <v>177</v>
      </c>
      <c r="C139">
        <v>10.9</v>
      </c>
      <c r="D139">
        <v>0</v>
      </c>
      <c r="E139">
        <v>7.1999999999999995E-2</v>
      </c>
      <c r="F139">
        <v>0</v>
      </c>
      <c r="G139">
        <v>0</v>
      </c>
      <c r="I139">
        <v>3.9940000000000002</v>
      </c>
      <c r="J139">
        <f t="shared" si="4"/>
        <v>9.9850000000000008E-2</v>
      </c>
      <c r="K139">
        <f t="shared" si="5"/>
        <v>3.9940000000000002</v>
      </c>
      <c r="N139">
        <v>19.95</v>
      </c>
      <c r="O139">
        <v>20.079999999999998</v>
      </c>
      <c r="P139">
        <v>19.809999999999999</v>
      </c>
      <c r="Q139">
        <v>0.05</v>
      </c>
      <c r="R139">
        <v>53.77</v>
      </c>
      <c r="S139">
        <v>54.15</v>
      </c>
      <c r="T139">
        <v>53.37</v>
      </c>
      <c r="U139">
        <v>0.187</v>
      </c>
      <c r="V139">
        <v>2.46</v>
      </c>
      <c r="W139">
        <v>3.95</v>
      </c>
      <c r="X139">
        <v>0.95</v>
      </c>
      <c r="Y139">
        <v>0.45800000000000002</v>
      </c>
      <c r="Z139">
        <v>2.081</v>
      </c>
      <c r="AA139">
        <v>875.23239999999998</v>
      </c>
      <c r="AB139">
        <v>0</v>
      </c>
    </row>
    <row r="140" spans="1:28" x14ac:dyDescent="0.3">
      <c r="A140" s="1">
        <v>44947.930555555555</v>
      </c>
      <c r="B140">
        <v>178</v>
      </c>
      <c r="C140">
        <v>10.46</v>
      </c>
      <c r="D140">
        <v>0</v>
      </c>
      <c r="E140">
        <v>2.9000000000000001E-2</v>
      </c>
      <c r="F140">
        <v>0</v>
      </c>
      <c r="G140">
        <v>0</v>
      </c>
      <c r="I140">
        <v>3.9940000000000002</v>
      </c>
      <c r="J140">
        <f t="shared" si="4"/>
        <v>9.9850000000000008E-2</v>
      </c>
      <c r="K140">
        <f t="shared" si="5"/>
        <v>3.9940000000000002</v>
      </c>
      <c r="N140">
        <v>19.850000000000001</v>
      </c>
      <c r="O140">
        <v>20.010000000000002</v>
      </c>
      <c r="P140">
        <v>19.739999999999998</v>
      </c>
      <c r="Q140">
        <v>4.4999999999999998E-2</v>
      </c>
      <c r="R140">
        <v>53.8</v>
      </c>
      <c r="S140">
        <v>54.25</v>
      </c>
      <c r="T140">
        <v>53.3</v>
      </c>
      <c r="U140">
        <v>0.22</v>
      </c>
      <c r="V140">
        <v>2.5539999999999998</v>
      </c>
      <c r="W140">
        <v>3.95</v>
      </c>
      <c r="X140">
        <v>0.95</v>
      </c>
      <c r="Y140">
        <v>0.52300000000000002</v>
      </c>
      <c r="Z140">
        <v>2.081</v>
      </c>
      <c r="AA140">
        <v>875.27329999999995</v>
      </c>
      <c r="AB140">
        <v>0</v>
      </c>
    </row>
    <row r="141" spans="1:28" x14ac:dyDescent="0.3">
      <c r="A141" s="1">
        <v>44947.9375</v>
      </c>
      <c r="B141">
        <v>179</v>
      </c>
      <c r="C141">
        <v>10.54</v>
      </c>
      <c r="D141">
        <v>0</v>
      </c>
      <c r="E141">
        <v>0</v>
      </c>
      <c r="F141">
        <v>0</v>
      </c>
      <c r="G141">
        <v>0</v>
      </c>
      <c r="I141">
        <v>3.9940000000000002</v>
      </c>
      <c r="J141">
        <f t="shared" si="4"/>
        <v>9.9850000000000008E-2</v>
      </c>
      <c r="K141">
        <f t="shared" si="5"/>
        <v>3.9940000000000002</v>
      </c>
      <c r="N141">
        <v>19.63</v>
      </c>
      <c r="O141">
        <v>19.91</v>
      </c>
      <c r="P141">
        <v>19.399999999999999</v>
      </c>
      <c r="Q141">
        <v>0.10299999999999999</v>
      </c>
      <c r="R141">
        <v>54.65</v>
      </c>
      <c r="S141">
        <v>55.61</v>
      </c>
      <c r="T141">
        <v>53.74</v>
      </c>
      <c r="U141">
        <v>0.48</v>
      </c>
      <c r="V141">
        <v>0.67200000000000004</v>
      </c>
      <c r="W141">
        <v>3.2</v>
      </c>
      <c r="X141">
        <v>0</v>
      </c>
      <c r="Y141">
        <v>0.72799999999999998</v>
      </c>
      <c r="Z141">
        <v>1.96</v>
      </c>
      <c r="AA141">
        <v>875.39649999999995</v>
      </c>
      <c r="AB141">
        <v>0</v>
      </c>
    </row>
    <row r="142" spans="1:28" x14ac:dyDescent="0.3">
      <c r="A142" s="1">
        <v>44947.944444444445</v>
      </c>
      <c r="B142">
        <v>180</v>
      </c>
      <c r="C142">
        <v>10.54</v>
      </c>
      <c r="D142">
        <v>0</v>
      </c>
      <c r="E142">
        <v>1.7999999999999999E-2</v>
      </c>
      <c r="F142">
        <v>0</v>
      </c>
      <c r="G142">
        <v>0</v>
      </c>
      <c r="I142">
        <v>3.9940000000000002</v>
      </c>
      <c r="J142">
        <f t="shared" si="4"/>
        <v>9.9850000000000008E-2</v>
      </c>
      <c r="K142">
        <f t="shared" si="5"/>
        <v>3.9940000000000002</v>
      </c>
      <c r="N142">
        <v>19.72</v>
      </c>
      <c r="O142">
        <v>20.11</v>
      </c>
      <c r="P142">
        <v>19.43</v>
      </c>
      <c r="Q142">
        <v>0.184</v>
      </c>
      <c r="R142">
        <v>54.67</v>
      </c>
      <c r="S142">
        <v>55.89</v>
      </c>
      <c r="T142">
        <v>53.16</v>
      </c>
      <c r="U142">
        <v>0.85699999999999998</v>
      </c>
      <c r="V142">
        <v>0.54300000000000004</v>
      </c>
      <c r="W142">
        <v>2.4500000000000002</v>
      </c>
      <c r="X142">
        <v>0</v>
      </c>
      <c r="Y142">
        <v>0.67100000000000004</v>
      </c>
      <c r="Z142">
        <v>1.96</v>
      </c>
      <c r="AA142">
        <v>875.55949999999996</v>
      </c>
      <c r="AB142">
        <v>0</v>
      </c>
    </row>
    <row r="143" spans="1:28" x14ac:dyDescent="0.3">
      <c r="A143" s="1">
        <v>44947.951388888891</v>
      </c>
      <c r="B143">
        <v>181</v>
      </c>
      <c r="C143">
        <v>10.54</v>
      </c>
      <c r="D143">
        <v>0</v>
      </c>
      <c r="E143">
        <v>1.2E-2</v>
      </c>
      <c r="F143">
        <v>0</v>
      </c>
      <c r="G143">
        <v>0</v>
      </c>
      <c r="I143">
        <v>3.9940000000000002</v>
      </c>
      <c r="J143">
        <f t="shared" si="4"/>
        <v>9.9850000000000008E-2</v>
      </c>
      <c r="K143">
        <f t="shared" si="5"/>
        <v>3.9940000000000002</v>
      </c>
      <c r="N143">
        <v>20.079999999999998</v>
      </c>
      <c r="O143">
        <v>20.25</v>
      </c>
      <c r="P143">
        <v>19.940000000000001</v>
      </c>
      <c r="Q143">
        <v>5.8000000000000003E-2</v>
      </c>
      <c r="R143">
        <v>53.67</v>
      </c>
      <c r="S143">
        <v>54.08</v>
      </c>
      <c r="T143">
        <v>52.92</v>
      </c>
      <c r="U143">
        <v>0.22700000000000001</v>
      </c>
      <c r="V143">
        <v>0.158</v>
      </c>
      <c r="W143">
        <v>0.95</v>
      </c>
      <c r="X143">
        <v>0</v>
      </c>
      <c r="Y143">
        <v>0.35399999999999998</v>
      </c>
      <c r="Z143">
        <v>2.008</v>
      </c>
      <c r="AA143">
        <v>875.56769999999995</v>
      </c>
      <c r="AB143">
        <v>0</v>
      </c>
    </row>
    <row r="144" spans="1:28" x14ac:dyDescent="0.3">
      <c r="A144" s="1">
        <v>44947.958333333336</v>
      </c>
      <c r="B144">
        <v>182</v>
      </c>
      <c r="C144">
        <v>10.53</v>
      </c>
      <c r="D144">
        <v>0</v>
      </c>
      <c r="E144">
        <v>1.2999999999999999E-2</v>
      </c>
      <c r="F144">
        <v>0</v>
      </c>
      <c r="G144">
        <v>0</v>
      </c>
      <c r="I144">
        <v>3.9940000000000002</v>
      </c>
      <c r="J144">
        <f t="shared" si="4"/>
        <v>9.9850000000000008E-2</v>
      </c>
      <c r="K144">
        <f t="shared" si="5"/>
        <v>3.9940000000000002</v>
      </c>
      <c r="N144">
        <v>19.77</v>
      </c>
      <c r="O144">
        <v>20.079999999999998</v>
      </c>
      <c r="P144">
        <v>19.399999999999999</v>
      </c>
      <c r="Q144">
        <v>0.193</v>
      </c>
      <c r="R144">
        <v>54.8</v>
      </c>
      <c r="S144">
        <v>56.06</v>
      </c>
      <c r="T144">
        <v>53.91</v>
      </c>
      <c r="U144">
        <v>0.63700000000000001</v>
      </c>
      <c r="V144">
        <v>0.747</v>
      </c>
      <c r="W144">
        <v>2.4500000000000002</v>
      </c>
      <c r="X144">
        <v>0</v>
      </c>
      <c r="Y144">
        <v>0.67600000000000005</v>
      </c>
      <c r="Z144">
        <v>1.839</v>
      </c>
      <c r="AA144">
        <v>875.60879999999997</v>
      </c>
      <c r="AB144">
        <v>0</v>
      </c>
    </row>
    <row r="145" spans="1:28" x14ac:dyDescent="0.3">
      <c r="A145" s="1">
        <v>44947.965277777781</v>
      </c>
      <c r="B145">
        <v>183</v>
      </c>
      <c r="C145">
        <v>10.53</v>
      </c>
      <c r="D145">
        <v>0</v>
      </c>
      <c r="E145">
        <v>7.4999999999999997E-2</v>
      </c>
      <c r="F145">
        <v>0</v>
      </c>
      <c r="G145">
        <v>0</v>
      </c>
      <c r="I145">
        <v>3.9940000000000002</v>
      </c>
      <c r="J145">
        <f t="shared" si="4"/>
        <v>9.9850000000000008E-2</v>
      </c>
      <c r="K145">
        <f t="shared" si="5"/>
        <v>3.9940000000000002</v>
      </c>
      <c r="N145">
        <v>19.489999999999998</v>
      </c>
      <c r="O145">
        <v>19.7</v>
      </c>
      <c r="P145">
        <v>19.16</v>
      </c>
      <c r="Q145">
        <v>0.11</v>
      </c>
      <c r="R145">
        <v>55.96</v>
      </c>
      <c r="S145">
        <v>57.08</v>
      </c>
      <c r="T145">
        <v>55</v>
      </c>
      <c r="U145">
        <v>0.51800000000000002</v>
      </c>
      <c r="V145">
        <v>1.389</v>
      </c>
      <c r="W145">
        <v>2.4500000000000002</v>
      </c>
      <c r="X145">
        <v>0</v>
      </c>
      <c r="Y145">
        <v>0.59799999999999998</v>
      </c>
      <c r="Z145">
        <v>2.008</v>
      </c>
      <c r="AA145">
        <v>875.65750000000003</v>
      </c>
      <c r="AB145">
        <v>0</v>
      </c>
    </row>
    <row r="146" spans="1:28" x14ac:dyDescent="0.3">
      <c r="A146" s="1">
        <v>44947.972222222219</v>
      </c>
      <c r="B146">
        <v>184</v>
      </c>
      <c r="C146">
        <v>10.52</v>
      </c>
      <c r="D146">
        <v>0</v>
      </c>
      <c r="E146">
        <v>0.123</v>
      </c>
      <c r="F146">
        <v>0</v>
      </c>
      <c r="G146">
        <v>0</v>
      </c>
      <c r="I146">
        <v>3.9940000000000002</v>
      </c>
      <c r="J146">
        <f t="shared" si="4"/>
        <v>9.9850000000000008E-2</v>
      </c>
      <c r="K146">
        <f t="shared" si="5"/>
        <v>3.9940000000000002</v>
      </c>
      <c r="N146">
        <v>19.27</v>
      </c>
      <c r="O146">
        <v>19.57</v>
      </c>
      <c r="P146">
        <v>19.02</v>
      </c>
      <c r="Q146">
        <v>0.109</v>
      </c>
      <c r="R146">
        <v>56.42</v>
      </c>
      <c r="S146">
        <v>58.1</v>
      </c>
      <c r="T146">
        <v>55.03</v>
      </c>
      <c r="U146">
        <v>0.83799999999999997</v>
      </c>
      <c r="V146">
        <v>1.4670000000000001</v>
      </c>
      <c r="W146">
        <v>3.2</v>
      </c>
      <c r="X146">
        <v>0</v>
      </c>
      <c r="Y146">
        <v>0.876</v>
      </c>
      <c r="Z146">
        <v>1.984</v>
      </c>
      <c r="AA146">
        <v>875.625</v>
      </c>
      <c r="AB146">
        <v>0</v>
      </c>
    </row>
    <row r="147" spans="1:28" x14ac:dyDescent="0.3">
      <c r="A147" s="1">
        <v>44947.979166666664</v>
      </c>
      <c r="B147">
        <v>185</v>
      </c>
      <c r="C147">
        <v>10.51</v>
      </c>
      <c r="D147">
        <v>0</v>
      </c>
      <c r="E147">
        <v>1.2999999999999999E-2</v>
      </c>
      <c r="F147">
        <v>0</v>
      </c>
      <c r="G147">
        <v>0</v>
      </c>
      <c r="I147">
        <v>3.9940000000000002</v>
      </c>
      <c r="J147">
        <f t="shared" si="4"/>
        <v>9.9850000000000008E-2</v>
      </c>
      <c r="K147">
        <f t="shared" si="5"/>
        <v>3.9940000000000002</v>
      </c>
      <c r="N147">
        <v>19.11</v>
      </c>
      <c r="O147">
        <v>19.53</v>
      </c>
      <c r="P147">
        <v>18.649999999999999</v>
      </c>
      <c r="Q147">
        <v>0.22700000000000001</v>
      </c>
      <c r="R147">
        <v>56.74</v>
      </c>
      <c r="S147">
        <v>58.03</v>
      </c>
      <c r="T147">
        <v>55.34</v>
      </c>
      <c r="U147">
        <v>0.754</v>
      </c>
      <c r="V147">
        <v>1.9350000000000001</v>
      </c>
      <c r="W147">
        <v>2.4500000000000002</v>
      </c>
      <c r="X147">
        <v>0.95</v>
      </c>
      <c r="Y147">
        <v>0.46100000000000002</v>
      </c>
      <c r="Z147">
        <v>1.984</v>
      </c>
      <c r="AA147">
        <v>875.68230000000005</v>
      </c>
      <c r="AB147">
        <v>0</v>
      </c>
    </row>
    <row r="148" spans="1:28" x14ac:dyDescent="0.3">
      <c r="A148" s="1">
        <v>44947.986111111109</v>
      </c>
      <c r="B148">
        <v>186</v>
      </c>
      <c r="C148">
        <v>10.51</v>
      </c>
      <c r="D148">
        <v>0</v>
      </c>
      <c r="E148">
        <v>5.0000000000000001E-3</v>
      </c>
      <c r="F148">
        <v>0</v>
      </c>
      <c r="G148">
        <v>0</v>
      </c>
      <c r="I148">
        <v>3.9940000000000002</v>
      </c>
      <c r="J148">
        <f t="shared" si="4"/>
        <v>9.9850000000000008E-2</v>
      </c>
      <c r="K148">
        <f t="shared" si="5"/>
        <v>3.9940000000000002</v>
      </c>
      <c r="N148">
        <v>18.489999999999998</v>
      </c>
      <c r="O148">
        <v>18.78</v>
      </c>
      <c r="P148">
        <v>18.27</v>
      </c>
      <c r="Q148">
        <v>9.0999999999999998E-2</v>
      </c>
      <c r="R148">
        <v>58.87</v>
      </c>
      <c r="S148">
        <v>59.43</v>
      </c>
      <c r="T148">
        <v>57.86</v>
      </c>
      <c r="U148">
        <v>0.316</v>
      </c>
      <c r="V148">
        <v>2.4540000000000002</v>
      </c>
      <c r="W148">
        <v>3.2</v>
      </c>
      <c r="X148">
        <v>0.95</v>
      </c>
      <c r="Y148">
        <v>0.45500000000000002</v>
      </c>
      <c r="Z148">
        <v>1.984</v>
      </c>
      <c r="AA148">
        <v>875.71479999999997</v>
      </c>
      <c r="AB148">
        <v>0</v>
      </c>
    </row>
    <row r="149" spans="1:28" x14ac:dyDescent="0.3">
      <c r="A149" s="1">
        <v>44947.993055555555</v>
      </c>
      <c r="B149">
        <v>187</v>
      </c>
      <c r="C149">
        <v>10.49</v>
      </c>
      <c r="D149">
        <v>0</v>
      </c>
      <c r="E149">
        <v>2.5999999999999999E-2</v>
      </c>
      <c r="F149">
        <v>0</v>
      </c>
      <c r="G149">
        <v>0</v>
      </c>
      <c r="I149">
        <v>3.9940000000000002</v>
      </c>
      <c r="J149">
        <f t="shared" si="4"/>
        <v>9.9850000000000008E-2</v>
      </c>
      <c r="K149">
        <f t="shared" si="5"/>
        <v>3.9940000000000002</v>
      </c>
      <c r="N149">
        <v>18.440000000000001</v>
      </c>
      <c r="O149">
        <v>18.72</v>
      </c>
      <c r="P149">
        <v>18.170000000000002</v>
      </c>
      <c r="Q149">
        <v>0.13600000000000001</v>
      </c>
      <c r="R149">
        <v>59.47</v>
      </c>
      <c r="S149">
        <v>60.52</v>
      </c>
      <c r="T149">
        <v>58.58</v>
      </c>
      <c r="U149">
        <v>0.59299999999999997</v>
      </c>
      <c r="V149">
        <v>2.3450000000000002</v>
      </c>
      <c r="W149">
        <v>3.2</v>
      </c>
      <c r="X149">
        <v>0.95</v>
      </c>
      <c r="Y149">
        <v>0.49</v>
      </c>
      <c r="Z149">
        <v>1.9359999999999999</v>
      </c>
      <c r="AA149">
        <v>875.71500000000003</v>
      </c>
      <c r="AB149">
        <v>0</v>
      </c>
    </row>
    <row r="150" spans="1:28" x14ac:dyDescent="0.3">
      <c r="A150" s="1"/>
    </row>
    <row r="151" spans="1:28" x14ac:dyDescent="0.3">
      <c r="A151" s="1"/>
    </row>
    <row r="152" spans="1:28" x14ac:dyDescent="0.3">
      <c r="A152" s="1"/>
    </row>
    <row r="153" spans="1:28" x14ac:dyDescent="0.3">
      <c r="A153" s="1"/>
    </row>
    <row r="154" spans="1:28" x14ac:dyDescent="0.3">
      <c r="A154" s="1"/>
    </row>
    <row r="155" spans="1:28" x14ac:dyDescent="0.3">
      <c r="A155" s="1"/>
    </row>
    <row r="156" spans="1:28" x14ac:dyDescent="0.3">
      <c r="A156" s="1"/>
    </row>
    <row r="157" spans="1:28" x14ac:dyDescent="0.3">
      <c r="A157" s="1"/>
    </row>
    <row r="158" spans="1:28" x14ac:dyDescent="0.3">
      <c r="A158" s="1"/>
    </row>
    <row r="159" spans="1:28" x14ac:dyDescent="0.3">
      <c r="A159" s="1"/>
    </row>
    <row r="160" spans="1:28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CR1000-ESOLMET_LOC_Tabla_diez_m</vt:lpstr>
    </vt:vector>
  </TitlesOfParts>
  <Company>Universidad Nacional Autonoma de México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</dc:creator>
  <cp:lastModifiedBy>Jesus</cp:lastModifiedBy>
  <dcterms:created xsi:type="dcterms:W3CDTF">2023-01-24T00:56:02Z</dcterms:created>
  <dcterms:modified xsi:type="dcterms:W3CDTF">2023-01-24T01:19:09Z</dcterms:modified>
</cp:coreProperties>
</file>